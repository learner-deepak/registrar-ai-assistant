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List" sheetId="1" r:id="rId4"/>
    <sheet state="hidden" name="Flex Addition List" sheetId="2" r:id="rId5"/>
  </sheets>
  <definedNames/>
  <calcPr/>
  <extLst>
    <ext uri="GoogleSheetsCustomDataVersion2">
      <go:sheetsCustomData xmlns:go="http://customooxmlschemas.google.com/" r:id="rId6" roundtripDataChecksum="P8mJvWM7CfupcgOshwQ1lZ1A4QKUC4aSm2AWt+D83/0="/>
    </ext>
  </extLst>
</workbook>
</file>

<file path=xl/sharedStrings.xml><?xml version="1.0" encoding="utf-8"?>
<sst xmlns="http://schemas.openxmlformats.org/spreadsheetml/2006/main" count="1174" uniqueCount="682">
  <si>
    <t>S. No.</t>
  </si>
  <si>
    <t>FXCRD Curricular Structure</t>
  </si>
  <si>
    <t>Group/Programme</t>
  </si>
  <si>
    <t>FXCRD Pre-defined List</t>
  </si>
  <si>
    <t>Course Code</t>
  </si>
  <si>
    <t>Murthy List</t>
  </si>
  <si>
    <t>Jayanth List</t>
  </si>
  <si>
    <t>Course Title</t>
  </si>
  <si>
    <t>All FXCRD</t>
  </si>
  <si>
    <t>Murthy + Jayanth List</t>
  </si>
  <si>
    <t>Credits</t>
  </si>
  <si>
    <t>Field Methods in Archaeology</t>
  </si>
  <si>
    <t>Cryptography</t>
  </si>
  <si>
    <t>Advanced Creative Writing</t>
  </si>
  <si>
    <t>Course Document as on 10th July 2026</t>
  </si>
  <si>
    <t>What is Biology?</t>
  </si>
  <si>
    <t>OM Music Education</t>
  </si>
  <si>
    <t>MUS-201-1.00</t>
  </si>
  <si>
    <t>A Beginner's Guide to Music</t>
  </si>
  <si>
    <t>https://mycampus.azimpremjiuniversity.edu.in/apex/CD_CourseDetailsPDF?Id=a0U2w00000dDp9E</t>
  </si>
  <si>
    <t>Global Historical Archaeologies</t>
  </si>
  <si>
    <t>English Language: Introduction</t>
  </si>
  <si>
    <t>An Invitation to Discrete Mathematics</t>
  </si>
  <si>
    <t>Introduction to Ecology</t>
  </si>
  <si>
    <t>Introduction to Archaeology</t>
  </si>
  <si>
    <t>Sustainable Forests, Wildlife, and Livelihoods</t>
  </si>
  <si>
    <t>Applied Game Theory</t>
  </si>
  <si>
    <t>Chemicals in the Community</t>
  </si>
  <si>
    <t>Archaeologies of the Contemporary World</t>
  </si>
  <si>
    <t>Fundamentals of Geospatial Technology</t>
  </si>
  <si>
    <t>Arguing about Art</t>
  </si>
  <si>
    <t>Mathematics</t>
  </si>
  <si>
    <t>Introduction to Chemical Thinking-II</t>
  </si>
  <si>
    <t>MAT-400-1.00</t>
  </si>
  <si>
    <t>Advanced Linear Algebra</t>
  </si>
  <si>
    <t>https://mycampus.azimpremjiuniversity.edu.in/apex/CD_CourseDetailsPDF?Id=a0UIg000000Nh8E</t>
  </si>
  <si>
    <t>Is Science Value Neutral? Interdisciplinary Feminist Interrogations</t>
  </si>
  <si>
    <t>Astronomy</t>
  </si>
  <si>
    <t>Introduction to Economics 1</t>
  </si>
  <si>
    <t>Archaeology of Climate Change and Sustainability: Moving Back to the Future</t>
  </si>
  <si>
    <t>Behavioural Economics</t>
  </si>
  <si>
    <t>Intermediate Microeconomic Theory</t>
  </si>
  <si>
    <t>Social Sciences</t>
  </si>
  <si>
    <t>SSC-205-1.00</t>
  </si>
  <si>
    <t>Advanced Methods in the Social Sciences</t>
  </si>
  <si>
    <t>https://mycampus.azimpremjiuniversity.edu.in/apex/CD_CourseDetailsPDF?Id=a0U2w00000g0ckD</t>
  </si>
  <si>
    <t>Introduction to organisms and ecosystems</t>
  </si>
  <si>
    <t>How India Works, Earns and Spends</t>
  </si>
  <si>
    <t>Brain and Behaviour</t>
  </si>
  <si>
    <t>Introduction to Literature</t>
  </si>
  <si>
    <t>Evolutionary Biology</t>
  </si>
  <si>
    <t>Library Archiving</t>
  </si>
  <si>
    <t>OM Sports and Fitness</t>
  </si>
  <si>
    <t>Contemporary India Through Literary and Cultural Texts</t>
  </si>
  <si>
    <t>SPO-300-1.00</t>
  </si>
  <si>
    <t>Advanced Practice: Strength &amp; Conditioning</t>
  </si>
  <si>
    <t>https://mycampus.azimpremjiuniversity.edu.in/apex/CD_CourseDetailsPDF?Id=a0UIg000000NYHM</t>
  </si>
  <si>
    <t>Form and function in animals</t>
  </si>
  <si>
    <t>The Library as a Site for Holistic Learning</t>
  </si>
  <si>
    <t>Framing Environmental Science and Sustainability</t>
  </si>
  <si>
    <t>Intelligent Machines: An Introduction to Robotics</t>
  </si>
  <si>
    <t>Causal Inference</t>
  </si>
  <si>
    <t>Doing History</t>
  </si>
  <si>
    <t>Information Sciences</t>
  </si>
  <si>
    <t>ISC-301-1.00</t>
  </si>
  <si>
    <t>Algorithms in our lives</t>
  </si>
  <si>
    <t>Introduction to Indian Sign Language</t>
  </si>
  <si>
    <t>Pending</t>
  </si>
  <si>
    <t>Cognitive Neurosciences</t>
  </si>
  <si>
    <t>Into the Medieval (300-1500 CE)</t>
  </si>
  <si>
    <t>English</t>
  </si>
  <si>
    <t>Introduction to Chemical Thinking-I</t>
  </si>
  <si>
    <t>ENG-104-1.03</t>
  </si>
  <si>
    <t>Introduction to Phonetics and Spoken English</t>
  </si>
  <si>
    <t>An Introduction to Creative Writing: Poetry and the Short Story</t>
  </si>
  <si>
    <t>Complex Analysis</t>
  </si>
  <si>
    <t>The Craft of Computing</t>
  </si>
  <si>
    <t>https://mycampus.azimpremjiuniversity.edu.in/apex/CD_CourseDetailsPDF?Id=a0UIg000000B94w</t>
  </si>
  <si>
    <t>Principles of Reactivity</t>
  </si>
  <si>
    <t>Spoken Kannada</t>
  </si>
  <si>
    <t>Early India</t>
  </si>
  <si>
    <t>Imperative Programming</t>
  </si>
  <si>
    <t>Chemical Analysis and Spectroscopy</t>
  </si>
  <si>
    <t>English Language: Foundations</t>
  </si>
  <si>
    <t>Introduction to Mathematical Thinking</t>
  </si>
  <si>
    <t>English Language: Intermediate</t>
  </si>
  <si>
    <t>Environmental History: Concepts and Concerns</t>
  </si>
  <si>
    <t>Analysis 1</t>
  </si>
  <si>
    <t>MAT-312-1.00</t>
  </si>
  <si>
    <t>Analysis 3</t>
  </si>
  <si>
    <t>Intermediate Macroeconomic Theory</t>
  </si>
  <si>
    <t>Making Decisions</t>
  </si>
  <si>
    <t>Environmental Pollution: Air, Water and Soil Part 1</t>
  </si>
  <si>
    <t>https://mycampus.azimpremjiuniversity.edu.in/apex/CD_CourseDetailsPDF?Id=a0U2w00000g0ciu</t>
  </si>
  <si>
    <t>Knowledge, Value, and Reality</t>
  </si>
  <si>
    <t>Data Analytics</t>
  </si>
  <si>
    <t>Political Philosophy</t>
  </si>
  <si>
    <t>Biology</t>
  </si>
  <si>
    <t>BIO-213-1.00</t>
  </si>
  <si>
    <t>Introduction to Economics II</t>
  </si>
  <si>
    <t>Animal behaviour</t>
  </si>
  <si>
    <t>Basic College Mathematics</t>
  </si>
  <si>
    <t>https://mycampus.azimpremjiuniversity.edu.in/apex/CD_CourseDetailsPDF?Id=a0U2w00000g0ciX</t>
  </si>
  <si>
    <t>Introductory Modern Physics</t>
  </si>
  <si>
    <t>Economic History</t>
  </si>
  <si>
    <t>Ethics</t>
  </si>
  <si>
    <t>Mechanics and Waves -II</t>
  </si>
  <si>
    <t>RICT</t>
  </si>
  <si>
    <t>The Geometry of Vision</t>
  </si>
  <si>
    <t>HUM-400-1.00</t>
  </si>
  <si>
    <t>Introduction to PPE</t>
  </si>
  <si>
    <t>Anthropology of Power</t>
  </si>
  <si>
    <t>https://mycampus.azimpremjiuniversity.edu.in/apex/CD_CourseDetailsPDF?Id=a0Ufu00000N46j7</t>
  </si>
  <si>
    <t>Poetry and the Short Story from Around the World</t>
  </si>
  <si>
    <t>Numerical Methods</t>
  </si>
  <si>
    <t>Experimental Methods</t>
  </si>
  <si>
    <t>Introduction to Psychology</t>
  </si>
  <si>
    <t>The Nature of Mathematics</t>
  </si>
  <si>
    <t>Programming for Cognitive Psychologists</t>
  </si>
  <si>
    <t>ENG-303-1.00</t>
  </si>
  <si>
    <t>Approaches to Literature</t>
  </si>
  <si>
    <t>https://mycampus.azimpremjiuniversity.edu.in/apex/CD_CourseDetailsPDF?Id=a0U2w00000g0ckI</t>
  </si>
  <si>
    <t>Reading the City: Language, Media, Culture and Bangalore</t>
  </si>
  <si>
    <t>Elementary Number Theory</t>
  </si>
  <si>
    <t>Seeing Like a Social Scientist</t>
  </si>
  <si>
    <t>Writing for the Public</t>
  </si>
  <si>
    <t>Optimization</t>
  </si>
  <si>
    <t>Power and Politics in Contemporary India</t>
  </si>
  <si>
    <t>History</t>
  </si>
  <si>
    <t>Drama as Text and Performance</t>
  </si>
  <si>
    <t>Statistics</t>
  </si>
  <si>
    <t>ACL-200-1.00</t>
  </si>
  <si>
    <t>Gender, Power and Politics</t>
  </si>
  <si>
    <t>Gender Studies: An Introduction</t>
  </si>
  <si>
    <t>Archaeology: The Question of Margin and Power</t>
  </si>
  <si>
    <t>Experimental Methods and Mathematics</t>
  </si>
  <si>
    <t>Gender, Sexuality and Body</t>
  </si>
  <si>
    <t>https://mycampus.azimpremjiuniversity.edu.in/apex/CD_CourseDetailsPDF?Id=a0Ufu00000MWSHT</t>
  </si>
  <si>
    <t>Gender and Popular Culture</t>
  </si>
  <si>
    <t>Introduction to Algorithms</t>
  </si>
  <si>
    <t>GIS for Sustainability</t>
  </si>
  <si>
    <t>The Premise and Promise of Statistics</t>
  </si>
  <si>
    <t>Sustainability Action and You</t>
  </si>
  <si>
    <t>Radioshala: Radio Programming and Production</t>
  </si>
  <si>
    <t>International Trade</t>
  </si>
  <si>
    <t>Theory and Techniques of Statistical Inference</t>
  </si>
  <si>
    <t>CRX</t>
  </si>
  <si>
    <t>CEX-103-2.00</t>
  </si>
  <si>
    <t>Art it up!</t>
  </si>
  <si>
    <t>Environmental Pollution: Air, Water and Soil 2</t>
  </si>
  <si>
    <t>Understanding Cinema</t>
  </si>
  <si>
    <t>https://mycampus.azimpremjiuniversity.edu.in/apex/CD_CourseDetailsPDF?Id=a0Ufu00000PUQYA</t>
  </si>
  <si>
    <t>Environmental Microbiology, Biotechnology and Ecology</t>
  </si>
  <si>
    <t>Metaphors, Models, and Economic Policy Paradigms</t>
  </si>
  <si>
    <t>Quantitative Reasoning: Foundations</t>
  </si>
  <si>
    <t>CRX-184-2.00</t>
  </si>
  <si>
    <t>Art of Foraging And The Local Foodways</t>
  </si>
  <si>
    <t>Basic Quantitative Reasoning and Methods</t>
  </si>
  <si>
    <t>https://mycampus.azimpremjiuniversity.edu.in/apex/CD_CourseDetailsPDF?Id=a0U2w00000g0clE</t>
  </si>
  <si>
    <t>Basic Quantitative Reasoning and Methods 2</t>
  </si>
  <si>
    <t>Conceptual Foundations of Physics</t>
  </si>
  <si>
    <t>Indian Sign Language</t>
  </si>
  <si>
    <t>OM Financial Management</t>
  </si>
  <si>
    <t>FIM-200-1.00</t>
  </si>
  <si>
    <t>Gender and the Material World</t>
  </si>
  <si>
    <t>Basics of Accounting</t>
  </si>
  <si>
    <t>Quantitative Reasoning: Introduction</t>
  </si>
  <si>
    <t>https://mycampus.azimpremjiuniversity.edu.in/apex/CD_CourseDetailsPDF?Id=a0Ufu00000MkRAE</t>
  </si>
  <si>
    <t>Sustainable Solid Waste Management</t>
  </si>
  <si>
    <t>Creating a Sustainable Educational Campus</t>
  </si>
  <si>
    <t>CRX-193-3.00</t>
  </si>
  <si>
    <t>Introduction to Organisms and Ecosystems</t>
  </si>
  <si>
    <t>Basketball Basics &amp; Beyond</t>
  </si>
  <si>
    <t>https://mycampus.azimpremjiuniversity.edu.in/apex/CD_CourseDetailsPDF?Id=a0Ufu00000DIJ7x</t>
  </si>
  <si>
    <t>The Commons: Rules, Rights, and Realities</t>
  </si>
  <si>
    <t>Computation for Physics</t>
  </si>
  <si>
    <t>CRX-228-1.00</t>
  </si>
  <si>
    <t>Belly Dance</t>
  </si>
  <si>
    <t>https://mycampus.azimpremjiuniversity.edu.in/apex/CD_CourseDetailsPDF?Id=a0U2w00000dDlT5</t>
  </si>
  <si>
    <t>Early Modern South Asia</t>
  </si>
  <si>
    <t>Introduction to Programming</t>
  </si>
  <si>
    <t>Discover Biology</t>
  </si>
  <si>
    <t>Colonial India: Polity, Economy and Society (1757-1930)</t>
  </si>
  <si>
    <t>Key Concepts in Social Science</t>
  </si>
  <si>
    <t>CEX-121-1.00</t>
  </si>
  <si>
    <t>Bharatanatyam - Reinventing Alarippu</t>
  </si>
  <si>
    <t>Data and Storage Structures</t>
  </si>
  <si>
    <t>BIO-210-1.01</t>
  </si>
  <si>
    <t>Biology of the cell</t>
  </si>
  <si>
    <t>https://mycampus.azimpremjiuniversity.edu.in/apex/CD_CourseDetailsPDF?Id=a0UIg000000NDeD</t>
  </si>
  <si>
    <t>Becoming a Reflective Information Scientist</t>
  </si>
  <si>
    <t>Discrete Structures</t>
  </si>
  <si>
    <t>CRX-170-2.00</t>
  </si>
  <si>
    <t>Breakdancing</t>
  </si>
  <si>
    <t>https://mycampus.azimpremjiuniversity.edu.in/apex/CD_CourseDetailsPDF?Id=a0U2w00000g0cl0</t>
  </si>
  <si>
    <t>Market Design</t>
  </si>
  <si>
    <t>Explorations in Mathematics 1</t>
  </si>
  <si>
    <t>Methods in Literary Analysis</t>
  </si>
  <si>
    <t>Explorations in Mathematics 2</t>
  </si>
  <si>
    <t>CEX-110-2.00</t>
  </si>
  <si>
    <t>Calligraphy 101</t>
  </si>
  <si>
    <t>https://mycampus.azimpremjiuniversity.edu.in/apex/CD_CourseDetailsPDF?Id=a0Ufu000009OGzK</t>
  </si>
  <si>
    <t>Reasoning</t>
  </si>
  <si>
    <t>Analysis 2</t>
  </si>
  <si>
    <t>Chemistry</t>
  </si>
  <si>
    <t>CHM-101-2.01</t>
  </si>
  <si>
    <t>Ordinary Differential Equations</t>
  </si>
  <si>
    <t>The Caste Question</t>
  </si>
  <si>
    <t>https://mycampus.azimpremjiuniversity.edu.in/apex/CD_CourseDetailsPDF?Id=a0UIg000000NDb5</t>
  </si>
  <si>
    <t>Science Fiction and Mind</t>
  </si>
  <si>
    <t>BIO-310-1.00</t>
  </si>
  <si>
    <t>Chemistry and biochemistry</t>
  </si>
  <si>
    <t>https://mycampus.azimpremjiuniversity.edu.in/apex/CD_CourseDetailsPDF?Id=a0U2w00000g0ciO</t>
  </si>
  <si>
    <t>The Novel</t>
  </si>
  <si>
    <t>Understanding Reality</t>
  </si>
  <si>
    <t>Themes in Labour History</t>
  </si>
  <si>
    <t>OM Climate Studies</t>
  </si>
  <si>
    <t>CLC-302-1.00</t>
  </si>
  <si>
    <t>Climate Ecology</t>
  </si>
  <si>
    <t>https://mycampus.azimpremjiuniversity.edu.in/apex/CD_CourseDetailsPDF?Id=a0U2w00000g0cqs</t>
  </si>
  <si>
    <t>Traditions in Motion: A History of South Asian Performative Practices (1000-2000 CE)</t>
  </si>
  <si>
    <t>Mechanics and Waves -I</t>
  </si>
  <si>
    <t>HIS-309-1.00</t>
  </si>
  <si>
    <t>https://mycampus.azimpremjiuniversity.edu.in/apex/CD_CourseDetailsPDF?Id=a0U2w00000g0cjQ</t>
  </si>
  <si>
    <t>Physics</t>
  </si>
  <si>
    <t>PHY-137-1.00</t>
  </si>
  <si>
    <t>Electronics</t>
  </si>
  <si>
    <t>https://mycampus.azimpremjiuniversity.edu.in/apex/CD_CourseDetailsPDF?Id=a0U2w00000g0cjC</t>
  </si>
  <si>
    <t>MTH-400-1.00</t>
  </si>
  <si>
    <t>Computational Tools for the Sciences</t>
  </si>
  <si>
    <t>Psychopathology</t>
  </si>
  <si>
    <t>https://mycampus.azimpremjiuniversity.edu.in/apex/CD_CourseDetailsPDF?Id=a0Ufu00000N4261</t>
  </si>
  <si>
    <t>ISC-201-2.00</t>
  </si>
  <si>
    <t>Computing internals and low level programming</t>
  </si>
  <si>
    <t>Introduction to Science Communication</t>
  </si>
  <si>
    <t>PHY-142-1.00</t>
  </si>
  <si>
    <t>https://mycampus.azimpremjiuniversity.edu.in/apex/CD_CourseDetailsPDF?Id=a0UIg00000JF0UT</t>
  </si>
  <si>
    <t>Science Technologies and Society</t>
  </si>
  <si>
    <t>Science Outreach</t>
  </si>
  <si>
    <t>Writing in the Sciences</t>
  </si>
  <si>
    <t>ENG-207-1.01</t>
  </si>
  <si>
    <t>https://mycampus.azimpremjiuniversity.edu.in/apex/CD_CourseDetailsPDF?Id=a0UIg000000NDxs</t>
  </si>
  <si>
    <t>Citizen Science</t>
  </si>
  <si>
    <t>Teacher Education</t>
  </si>
  <si>
    <t>EDU-305-1.00</t>
  </si>
  <si>
    <t>Craft of Classroom Teaching</t>
  </si>
  <si>
    <t>https://mycampus.azimpremjiuniversity.edu.in/apex/CD_CourseDetailsPDF?Id=a0U2w00000g0cri</t>
  </si>
  <si>
    <t>Modernity and the Discourse of the Social Sciences</t>
  </si>
  <si>
    <t>CRX-176-3.00</t>
  </si>
  <si>
    <t>Creative Crochet</t>
  </si>
  <si>
    <t>https://mycampus.azimpremjiuniversity.edu.in/apex/CD_CourseDetailsPDF?Id=a0Ufu00000CPTMT</t>
  </si>
  <si>
    <t>Introduction to Computational Statistics and Statistical Learning</t>
  </si>
  <si>
    <t>CRX-175-3.00</t>
  </si>
  <si>
    <t>Creative Expression With Clay</t>
  </si>
  <si>
    <t>The premise and promise of statistics</t>
  </si>
  <si>
    <t>https://mycampus.azimpremjiuniversity.edu.in/apex/CD_CourseDetailsPDF?Id=a0Ufu000009Irwo</t>
  </si>
  <si>
    <t>Understanding Uncertainty</t>
  </si>
  <si>
    <t>SSC-207-1.00</t>
  </si>
  <si>
    <t>Critical Perspectives on Gender and Sexuality</t>
  </si>
  <si>
    <t>https://mycampus.azimpremjiuniversity.edu.in/apex/CD_CourseDetailsPDF?Id=a0U2w00000g0ckF</t>
  </si>
  <si>
    <t>Topics in Statistical Modelling</t>
  </si>
  <si>
    <t>CEX-115-1.00</t>
  </si>
  <si>
    <t>CRX - Theatre for Teachers</t>
  </si>
  <si>
    <t>https://mycampus.azimpremjiuniversity.edu.in/apex/CD_CourseDetailsPDF?Id=a0UIg000000OGW3</t>
  </si>
  <si>
    <t>CEX-120-1.00</t>
  </si>
  <si>
    <t>Dance, Movement and Expression</t>
  </si>
  <si>
    <t>https://mycampus.azimpremjiuniversity.edu.in/apex/CD_CourseDetailsPDF?Id=a0Ufu00000SEsOc</t>
  </si>
  <si>
    <t>OM Data, Democracy and Development</t>
  </si>
  <si>
    <t>DDD-245-1.00</t>
  </si>
  <si>
    <t>Development as Freedom</t>
  </si>
  <si>
    <t>https://mycampus.azimpremjiuniversity.edu.in/apex/CD_CourseDetailsPDF?Id=a0U2w00000g0coS</t>
  </si>
  <si>
    <t>Psychology</t>
  </si>
  <si>
    <t>PSY-102-1.00</t>
  </si>
  <si>
    <t>Developmental Psychology</t>
  </si>
  <si>
    <t>https://mycampus.azimpremjiuniversity.edu.in/apex/CD_CourseDetailsPDF?Id=a0UIg00000JEjLp</t>
  </si>
  <si>
    <t>BIO-139-1.00</t>
  </si>
  <si>
    <t>https://mycampus.azimpremjiuniversity.edu.in/apex/CD_CourseDetailsPDF?Id=a0UIg000000OfP1</t>
  </si>
  <si>
    <t>HIS-113-1.21</t>
  </si>
  <si>
    <t>https://mycampus.azimpremjiuniversity.edu.in/apex/CD_CourseDetailsPDF?Id=a0UIg00000JF7gX</t>
  </si>
  <si>
    <t>CEX-119-1.00</t>
  </si>
  <si>
    <t>Dots to Mandalas</t>
  </si>
  <si>
    <t>https://mycampus.azimpremjiuniversity.edu.in/apex/CD_CourseDetailsPDF?Id=a0Ufu00000S5DNv</t>
  </si>
  <si>
    <t>ENG-316-1.01</t>
  </si>
  <si>
    <t>https://mycampus.azimpremjiuniversity.edu.in/apex/CD_CourseDetailsPDF?Id=a0UIg000000BHsM</t>
  </si>
  <si>
    <t>BIO-305-1.00</t>
  </si>
  <si>
    <t>Ecological Methods and Statistical Techniques</t>
  </si>
  <si>
    <t>https://mycampus.azimpremjiuniversity.edu.in/apex/CD_CourseDetailsPDF?Id=a0U2w00000g0ciW</t>
  </si>
  <si>
    <t>ESS</t>
  </si>
  <si>
    <t>EVS-201-1.00</t>
  </si>
  <si>
    <t>Ecology, Environment and Development</t>
  </si>
  <si>
    <t>https://mycampus.azimpremjiuniversity.edu.in/apex/CD_CourseDetailsPDF?Id=a0U2w00000g0ckd</t>
  </si>
  <si>
    <t>Economics</t>
  </si>
  <si>
    <t>ECO-207-1.20</t>
  </si>
  <si>
    <t>Econometrics of Impact Evaluation</t>
  </si>
  <si>
    <t>https://mycampus.azimpremjiuniversity.edu.in/apex/CD_CourseDetailsPDF?Id=a0U2w00000g0cmN</t>
  </si>
  <si>
    <t>ECO-214-1.10</t>
  </si>
  <si>
    <t>Economics of Identity</t>
  </si>
  <si>
    <t>https://mycampus.azimpremjiuniversity.edu.in/apex/CD_CourseDetailsPDF?Id=a0U2w00000g0cm8</t>
  </si>
  <si>
    <t>ECO-256-1.00</t>
  </si>
  <si>
    <t>Economics of the Environment</t>
  </si>
  <si>
    <t>https://mycampus.azimpremjiuniversity.edu.in/apex/CD_CourseDetailsPDF?Id=a0U2w00000dDUdY</t>
  </si>
  <si>
    <t>PHY-131-1.00</t>
  </si>
  <si>
    <t>Electricity and Magnetism</t>
  </si>
  <si>
    <t>https://mycampus.azimpremjiuniversity.edu.in/apex/CD_CourseDetailsPDF?Id=a0U2w00000g0cj2</t>
  </si>
  <si>
    <t>SPO-202-1.00</t>
  </si>
  <si>
    <t>Embodied Learning</t>
  </si>
  <si>
    <t>https://mycampus.azimpremjiuniversity.edu.in/apex/CD_CourseDetailsPDF?Id=a0U2w00000g0coX</t>
  </si>
  <si>
    <t>Common Curriculum</t>
  </si>
  <si>
    <t>LNG-109-1.00</t>
  </si>
  <si>
    <t>https://mycampus.azimpremjiuniversity.edu.in/apex/CD_CourseDetailsPDF?Id=a0UIg000000OJs7</t>
  </si>
  <si>
    <t>ENG-132-1.00</t>
  </si>
  <si>
    <t>https://mycampus.azimpremjiuniversity.edu.in/apex/CD_CourseDetailsPDF?Id=a0UIg00000apVvq</t>
  </si>
  <si>
    <t>Philosophy</t>
  </si>
  <si>
    <t>PHI-307-1.00</t>
  </si>
  <si>
    <t>Environmental Philosophy</t>
  </si>
  <si>
    <t>https://mycampus.azimpremjiuniversity.edu.in/apex/CD_CourseDetailsPDF?Id=a0U2w00000g0ck5</t>
  </si>
  <si>
    <t>EVS-202-1.00</t>
  </si>
  <si>
    <t>https://mycampus.azimpremjiuniversity.edu.in/apex/CD_CourseDetailsPDF?Id=a0U2w00000g0cke</t>
  </si>
  <si>
    <t>HIS-215-1.00</t>
  </si>
  <si>
    <t>Europe in Transition: Society, Culture, Politics and Economy, 1450-1800s</t>
  </si>
  <si>
    <t>https://mycampus.azimpremjiuniversity.edu.in/apex/CD_CourseDetailsPDF?Id=a0Ufu00000MWNo2</t>
  </si>
  <si>
    <t>BIO-402-1.00</t>
  </si>
  <si>
    <t>Evolutionary Perspectives on Human Behaviour</t>
  </si>
  <si>
    <t>https://mycampus.azimpremjiuniversity.edu.in/apex/CD_CourseDetailsPDF?Id=a0Ufu00000N46MY</t>
  </si>
  <si>
    <t>RES-401-1.00</t>
  </si>
  <si>
    <t>Experimental Methods and Instrumentation</t>
  </si>
  <si>
    <t>https://mycampus.azimpremjiuniversity.edu.in/apex/CD_CourseDetailsPDF?Id=a0Ufu00000N3rgs</t>
  </si>
  <si>
    <t>MAT-305-1.01</t>
  </si>
  <si>
    <t>https://mycampus.azimpremjiuniversity.edu.in/apex/CD_CourseDetailsPDF?Id=a0Ufu00000LEzsM</t>
  </si>
  <si>
    <t>CEX-118-1.00</t>
  </si>
  <si>
    <t>Exploring Wordless Picture Books</t>
  </si>
  <si>
    <t>https://mycampus.azimpremjiuniversity.edu.in/apex/CD_CourseDetailsPDF?Id=a0Ufu00000QvdqT</t>
  </si>
  <si>
    <t>OM Media and Journalism</t>
  </si>
  <si>
    <t>MDJ-201-1.00</t>
  </si>
  <si>
    <t>Feature Writing on Arts and Culture</t>
  </si>
  <si>
    <t>https://mycampus.azimpremjiuniversity.edu.in/apex/CD_CourseDetailsPDF?Id=a0U2w00000g0ckb</t>
  </si>
  <si>
    <t>ECO-247-1.00</t>
  </si>
  <si>
    <t>Feminist Economics</t>
  </si>
  <si>
    <t>https://mycampus.azimpremjiuniversity.edu.in/apex/CD_CourseDetailsPDF?Id=a0U2w00000g0cmC</t>
  </si>
  <si>
    <t>CEX-106-1.00</t>
  </si>
  <si>
    <t>Football for all</t>
  </si>
  <si>
    <t>https://mycampus.azimpremjiuniversity.edu.in/apex/CD_CourseDetailsPDF?Id=a0UIg00000JF008</t>
  </si>
  <si>
    <t>FOU-120-1.00</t>
  </si>
  <si>
    <t>Foundational Hindi</t>
  </si>
  <si>
    <t>https://mycampus.azimpremjiuniversity.edu.in/apex/CD_CourseDetailsPDF?Id=a0UIg000000OV87</t>
  </si>
  <si>
    <t>FOU-121-1.00</t>
  </si>
  <si>
    <t>Foundational Kannada</t>
  </si>
  <si>
    <t>https://mycampus.azimpremjiuniversity.edu.in/apex/CD_CourseDetailsPDF?Id=a0UIg000000NylT</t>
  </si>
  <si>
    <t>FOU-100-1.00</t>
  </si>
  <si>
    <t>Foundational Reading and Writing in English</t>
  </si>
  <si>
    <t>https://mycampus.azimpremjiuniversity.edu.in/apex/CD_CourseDetailsPDF?Id=a0UIg000000NykW</t>
  </si>
  <si>
    <t>EVS-101-1.00</t>
  </si>
  <si>
    <t>https://mycampus.azimpremjiuniversity.edu.in/apex/CD_CourseDetailsPDF?Id=a0U2w00000g0cik</t>
  </si>
  <si>
    <t>GDS-301-1.00</t>
  </si>
  <si>
    <t>https://mycampus.azimpremjiuniversity.edu.in/apex/CD_CourseDetailsPDF?Id=a0U2w00000dDbFp</t>
  </si>
  <si>
    <t>GDS-201-2.00</t>
  </si>
  <si>
    <t>https://mycampus.azimpremjiuniversity.edu.in/apex/CD_CourseDetailsPDF?Id=a0Ufu00000KzhuA</t>
  </si>
  <si>
    <t>EVS-302-1.00</t>
  </si>
  <si>
    <t>Geospatial Technology1: GIS of the Environment</t>
  </si>
  <si>
    <t>https://mycampus.azimpremjiuniversity.edu.in/apex/CD_CourseDetailsPDF?Id=a0U2w00000g0ckj</t>
  </si>
  <si>
    <t>CRX-195-1.00</t>
  </si>
  <si>
    <t>Guitar 101</t>
  </si>
  <si>
    <t>https://mycampus.azimpremjiuniversity.edu.in/apex/CD_CourseDetailsPDF?Id=a0U2w00000g0clN</t>
  </si>
  <si>
    <t>ECO-135-1.00</t>
  </si>
  <si>
    <t>Health Economics</t>
  </si>
  <si>
    <t>https://mycampus.azimpremjiuniversity.edu.in/apex/CD_CourseDetailsPDF?Id=a0Ufu00000NhYE5</t>
  </si>
  <si>
    <t>OM Public Health</t>
  </si>
  <si>
    <t>PHE-200-1.00</t>
  </si>
  <si>
    <t>Health, Disease &amp; Society</t>
  </si>
  <si>
    <t>https://mycampus.azimpremjiuniversity.edu.in/apex/CD_CourseDetailsPDF?Id=a0UIg000000CTgS</t>
  </si>
  <si>
    <t>ECO-236-1.00</t>
  </si>
  <si>
    <t>History of Economic Thought</t>
  </si>
  <si>
    <t>https://mycampus.azimpremjiuniversity.edu.in/apex/CD_CourseDetailsPDF?Id=a0U2w00000g0cmD</t>
  </si>
  <si>
    <t>UIN-120-1.00</t>
  </si>
  <si>
    <t>https://mycampus.azimpremjiuniversity.edu.in/apex/CD_CourseDetailsPDF?Id=a0UIg000000Os2o</t>
  </si>
  <si>
    <t>TED-100-1.00</t>
  </si>
  <si>
    <t>Human Development and Learning -1</t>
  </si>
  <si>
    <t>https://mycampus.azimpremjiuniversity.edu.in/apex/CD_CourseDetailsPDF?Id=a0UIg000000Nykp</t>
  </si>
  <si>
    <t>ISC-202-2.00</t>
  </si>
  <si>
    <t>HIS-204-1.00</t>
  </si>
  <si>
    <t>Indian Ocean Worlds, c. 700-1700 CE</t>
  </si>
  <si>
    <t>https://mycampus.azimpremjiuniversity.edu.in/apex/CD_CourseDetailsPDF?Id=a0U2w00000g0cjM</t>
  </si>
  <si>
    <t>SSC-206-1.00</t>
  </si>
  <si>
    <t>Indigeneity and Belonging in Contemporary India</t>
  </si>
  <si>
    <t>https://mycampus.azimpremjiuniversity.edu.in/apex/CD_CourseDetailsPDF?Id=a0U2w00000g0ckE</t>
  </si>
  <si>
    <t>CHM-302-1.00</t>
  </si>
  <si>
    <t>Inorganic Synthesis</t>
  </si>
  <si>
    <t>https://mycampus.azimpremjiuniversity.edu.in/apex/CD_CourseDetailsPDF?Id=a0U2w00000g0cih</t>
  </si>
  <si>
    <t>ECO-244-2.00</t>
  </si>
  <si>
    <t>https://mycampus.azimpremjiuniversity.edu.in/apex/CD_CourseDetailsPDF?Id=a0U2w00000g0cjf</t>
  </si>
  <si>
    <t>HIS-116-1.00</t>
  </si>
  <si>
    <t>https://mycampus.azimpremjiuniversity.edu.in/apex/CD_CourseDetailsPDF?Id=a0U2w00000g0cjN</t>
  </si>
  <si>
    <t>OM Technology for Social Good</t>
  </si>
  <si>
    <t>TCH-301-1.00</t>
  </si>
  <si>
    <t>Introduction to Application Development Frameworks</t>
  </si>
  <si>
    <t>https://mycampus.azimpremjiuniversity.edu.in/apex/CD_CourseDetailsPDF?Id=a0UIg00000JF1hG</t>
  </si>
  <si>
    <t>HIS-114-2.00</t>
  </si>
  <si>
    <t>https://mycampus.azimpremjiuniversity.edu.in/apex/CD_CourseDetailsPDF?Id=a0Ufu00000KYG21</t>
  </si>
  <si>
    <t>OM Biodiversity Conservation</t>
  </si>
  <si>
    <t>CSN-201-1.00</t>
  </si>
  <si>
    <t>Introduction to Biodiversity and Conservation</t>
  </si>
  <si>
    <t>https://mycampus.azimpremjiuniversity.edu.in/apex/CD_CourseDetailsPDF?Id=a0U2w00000dDMi7</t>
  </si>
  <si>
    <t>CHM-201-1.01</t>
  </si>
  <si>
    <t>https://mycampus.azimpremjiuniversity.edu.in/apex/CD_CourseDetailsPDF?Id=a0UIg000000NDc2</t>
  </si>
  <si>
    <t>CLC-234-1.00</t>
  </si>
  <si>
    <t>Introduction to Climate Science 1</t>
  </si>
  <si>
    <t>https://mycampus.azimpremjiuniversity.edu.in/apex/CD_CourseDetailsPDF?Id=a0U2w00000g0cok</t>
  </si>
  <si>
    <t>OM Education</t>
  </si>
  <si>
    <t>EDU-301-3.00</t>
  </si>
  <si>
    <t>Introduction to Curriculum, Pedagogy and Assessment</t>
  </si>
  <si>
    <t>https://mycampus.azimpremjiuniversity.edu.in/apex/CD_CourseDetailsPDF?Id=a0Ufu00000L0UI9</t>
  </si>
  <si>
    <t>OM Disability, Accessibility and Inclusion</t>
  </si>
  <si>
    <t>DST-200-1.00</t>
  </si>
  <si>
    <t>Introduction to Disability: Perspectives, Rights and Advocacy</t>
  </si>
  <si>
    <t>https://mycampus.azimpremjiuniversity.edu.in/apex/CD_CourseDetailsPDF?Id=a0Ufu00000MmDeF</t>
  </si>
  <si>
    <t>BIO-211-1.00</t>
  </si>
  <si>
    <t>https://mycampus.azimpremjiuniversity.edu.in/apex/CD_CourseDetailsPDF?Id=a0U2w00000g0ciL</t>
  </si>
  <si>
    <t>ECO-316-1.00</t>
  </si>
  <si>
    <t>Introduction to Econometrics</t>
  </si>
  <si>
    <t>https://mycampus.azimpremjiuniversity.edu.in/apex/CD_CourseDetailsPDF?Id=a0U2w00000g0cji</t>
  </si>
  <si>
    <t>ECO-134-1.01</t>
  </si>
  <si>
    <t>https://mycampus.azimpremjiuniversity.edu.in/apex/CD_CourseDetailsPDF?Id=a0UIg000000A1ak</t>
  </si>
  <si>
    <t>OM Heritage Studies</t>
  </si>
  <si>
    <t>HST-200-1.00</t>
  </si>
  <si>
    <t>Introduction to Heritage ? Concepts, Domains, and Practices</t>
  </si>
  <si>
    <t>https://mycampus.azimpremjiuniversity.edu.in/apex/CD_CourseDetailsPDF?Id=a0Ufu00000N3NEE</t>
  </si>
  <si>
    <t>Open</t>
  </si>
  <si>
    <t>LNG-110-1.00</t>
  </si>
  <si>
    <t>https://mycampus.azimpremjiuniversity.edu.in/apex/CD_CourseDetailsPDF?Id=a0UIg000000OqE6</t>
  </si>
  <si>
    <t>ENG-102-1.00</t>
  </si>
  <si>
    <t>https://mycampus.azimpremjiuniversity.edu.in/apex/CD_CourseDetailsPDF?Id=a0U2w00000g0ckH</t>
  </si>
  <si>
    <t>MAT-211-1.00</t>
  </si>
  <si>
    <t>Introduction to Mathematical Logic</t>
  </si>
  <si>
    <t>https://mycampus.azimpremjiuniversity.edu.in/apex/CD_CourseDetailsPDF?Id=a0UIg000000Awl7</t>
  </si>
  <si>
    <t>MAT-113-1.00</t>
  </si>
  <si>
    <t>https://mycampus.azimpremjiuniversity.edu.in/apex/CD_CourseDetailsPDF?Id=a0UIg000000NKI8</t>
  </si>
  <si>
    <t>Media and Communications</t>
  </si>
  <si>
    <t>MCM-101-1.00</t>
  </si>
  <si>
    <t>Introduction to Media and Communications</t>
  </si>
  <si>
    <t>https://mycampus.azimpremjiuniversity.edu.in/apex/CD_CourseDetailsPDF?Id=a0Ufu00000MlGsg</t>
  </si>
  <si>
    <t>RES-400-1.00</t>
  </si>
  <si>
    <t>Introduction to Mixed Methods Research</t>
  </si>
  <si>
    <t>https://mycampus.azimpremjiuniversity.edu.in/apex/CD_CourseDetailsPDF?Id=a0Ufu00000N3tE1</t>
  </si>
  <si>
    <t>BIO-308-1.00</t>
  </si>
  <si>
    <t>Introduction to Neuroscience</t>
  </si>
  <si>
    <t>https://mycampus.azimpremjiuniversity.edu.in/apex/CD_CourseDetailsPDF?Id=a0U2w00000g0ciS</t>
  </si>
  <si>
    <t>ENG-135-1.01</t>
  </si>
  <si>
    <t>https://mycampus.azimpremjiuniversity.edu.in/apex/CD_CourseDetailsPDF?Id=a0Ufu00000FUhQH</t>
  </si>
  <si>
    <t>PPE</t>
  </si>
  <si>
    <t>PPE-101-1.00</t>
  </si>
  <si>
    <t>https://mycampus.azimpremjiuniversity.edu.in/apex/CD_CourseDetailsPDF?Id=a0U2w00000dDPzh</t>
  </si>
  <si>
    <t>MAT-103-1.02</t>
  </si>
  <si>
    <t>https://mycampus.azimpremjiuniversity.edu.in/apex/CD_CourseDetailsPDF?Id=a0U2w00000g0a1b</t>
  </si>
  <si>
    <t>PSY-301-1.01</t>
  </si>
  <si>
    <t>https://mycampus.azimpremjiuniversity.edu.in/apex/CD_CourseDetailsPDF?Id=a0UIg000000NDeI</t>
  </si>
  <si>
    <t>RES-212-1.01</t>
  </si>
  <si>
    <t>Introduction to Research and Qualitative Methods</t>
  </si>
  <si>
    <t>https://mycampus.azimpremjiuniversity.edu.in/apex/CD_CourseDetailsPDF?Id=a0UIg000000A0oY</t>
  </si>
  <si>
    <t>ENG-306-1.00</t>
  </si>
  <si>
    <t>Introduction to Translation</t>
  </si>
  <si>
    <t>https://mycampus.azimpremjiuniversity.edu.in/apex/CD_CourseDetailsPDF?Id=a0U2w00000g0ckU</t>
  </si>
  <si>
    <t>PHY-138-1.00</t>
  </si>
  <si>
    <t>https://mycampus.azimpremjiuniversity.edu.in/apex/CD_CourseDetailsPDF?Id=a0U2w00000dCQ4j</t>
  </si>
  <si>
    <t>PHI-102-1.11</t>
  </si>
  <si>
    <t>https://mycampus.azimpremjiuniversity.edu.in/apex/CD_CourseDetailsPDF?Id=a0UIg000000NDzD</t>
  </si>
  <si>
    <t>PHI-309-1.00</t>
  </si>
  <si>
    <t>Language and the World</t>
  </si>
  <si>
    <t>https://mycampus.azimpremjiuniversity.edu.in/apex/CD_CourseDetailsPDF?Id=a0U2w00000g0ck7</t>
  </si>
  <si>
    <t>CEX-101-2.00</t>
  </si>
  <si>
    <t>Learning and Embodiment: Mandalas</t>
  </si>
  <si>
    <t>https://mycampus.azimpremjiuniversity.edu.in/apex/CD_CourseDetailsPDF?Id=a0Ufu000009oOTN</t>
  </si>
  <si>
    <t>HUM-101-2.00</t>
  </si>
  <si>
    <t>https://mycampus.azimpremjiuniversity.edu.in/apex/CD_CourseDetailsPDF?Id=a0UIg00000apum8</t>
  </si>
  <si>
    <t>MAT-213-1.00</t>
  </si>
  <si>
    <t>Linear Algebra 1</t>
  </si>
  <si>
    <t>https://mycampus.azimpremjiuniversity.edu.in/apex/CD_CourseDetailsPDF?Id=a0UIg000000NguI</t>
  </si>
  <si>
    <t>HIS-206-1.00</t>
  </si>
  <si>
    <t>Local Histories: Memorial Stones around Sarjapura</t>
  </si>
  <si>
    <t>https://mycampus.azimpremjiuniversity.edu.in/apex/CD_CourseDetailsPDF?Id=a0U2w00000g0cjU</t>
  </si>
  <si>
    <t>ENG-203-1.00</t>
  </si>
  <si>
    <t>Longform Narratives: Preserving Lives</t>
  </si>
  <si>
    <t>https://mycampus.azimpremjiuniversity.edu.in/apex/CD_CourseDetailsPDF?Id=a0U2w00000g0ckQ</t>
  </si>
  <si>
    <t>ECO-253-1.00</t>
  </si>
  <si>
    <t>Macroeconomic Dynamics</t>
  </si>
  <si>
    <t>https://mycampus.azimpremjiuniversity.edu.in/apex/CD_CourseDetailsPDF?Id=a0U2w00000dDUeQ</t>
  </si>
  <si>
    <t>ECO-218-1.01</t>
  </si>
  <si>
    <t>Macroeconomics: Theory and Applications I</t>
  </si>
  <si>
    <t>https://mycampus.azimpremjiuniversity.edu.in/apex/CD_CourseDetailsPDF?Id=a0UIg0000009zr0</t>
  </si>
  <si>
    <t>CEX-116-1.00</t>
  </si>
  <si>
    <t>Madhubani Painting: Tradition and Expression</t>
  </si>
  <si>
    <t>https://mycampus.azimpremjiuniversity.edu.in/apex/CD_CourseDetailsPDF?Id=a0Ufu00000RZnPm</t>
  </si>
  <si>
    <t>CHM-104-1.00</t>
  </si>
  <si>
    <t>Mathematics and Computing -II</t>
  </si>
  <si>
    <t>https://mycampus.azimpremjiuniversity.edu.in/apex/CD_CourseDetailsPDF?Id=a0U2w00000g0cib</t>
  </si>
  <si>
    <t>PHY-204-1.00</t>
  </si>
  <si>
    <t>Mathematics for Physics -II</t>
  </si>
  <si>
    <t>https://mycampus.azimpremjiuniversity.edu.in/apex/CD_CourseDetailsPDF?Id=a0U2w00000g0cj5</t>
  </si>
  <si>
    <t>PHY-202-1.00</t>
  </si>
  <si>
    <t>https://mycampus.azimpremjiuniversity.edu.in/apex/CD_CourseDetailsPDF?Id=a0U2w00000g0cj3</t>
  </si>
  <si>
    <t>MDJ-406-1.00</t>
  </si>
  <si>
    <t>Media and Politics in India</t>
  </si>
  <si>
    <t>https://mycampus.azimpremjiuniversity.edu.in/apex/CD_CourseDetailsPDF?Id=a0Ufu00000N49Nd</t>
  </si>
  <si>
    <t>ECO-309-1.00</t>
  </si>
  <si>
    <t>Microeconomic Aspects of Economic Development</t>
  </si>
  <si>
    <t>https://mycampus.azimpremjiuniversity.edu.in/apex/CD_CourseDetailsPDF?Id=a0U2w00000g0cjr</t>
  </si>
  <si>
    <t>ECO-204-1.01</t>
  </si>
  <si>
    <t>Microeconomics: Theory and applications 1</t>
  </si>
  <si>
    <t>https://mycampus.azimpremjiuniversity.edu.in/apex/CD_CourseDetailsPDF?Id=a0UIg0000009tc5</t>
  </si>
  <si>
    <t>ENG-317-2.00</t>
  </si>
  <si>
    <t>Modern Times</t>
  </si>
  <si>
    <t>https://mycampus.azimpremjiuniversity.edu.in/apex/CD_CourseDetailsPDF?Id=a0Ufu00000KVeqV</t>
  </si>
  <si>
    <t>MCD-300-1.00</t>
  </si>
  <si>
    <t>Multimedia Storytelling</t>
  </si>
  <si>
    <t>https://mycampus.azimpremjiuniversity.edu.in/apex/CD_CourseDetailsPDF?Id=a0U2w00000g0Eee</t>
  </si>
  <si>
    <t>HUM-401-1.00</t>
  </si>
  <si>
    <t>Narratives Past and Present: Interdisciplinary Methods</t>
  </si>
  <si>
    <t>https://mycampus.azimpremjiuniversity.edu.in/apex/CD_CourseDetailsPDF?Id=a0Ufu00000N3nLa</t>
  </si>
  <si>
    <t>OM Design for Communities</t>
  </si>
  <si>
    <t>DSN-201-1.00</t>
  </si>
  <si>
    <t>Objects and Spaces in Context</t>
  </si>
  <si>
    <t>https://mycampus.azimpremjiuniversity.edu.in/apex/CD_CourseDetailsPDF?Id=a0U2w00000dDNej</t>
  </si>
  <si>
    <t>CEX-104-1.00</t>
  </si>
  <si>
    <t>Origami 101</t>
  </si>
  <si>
    <t>https://mycampus.azimpremjiuniversity.edu.in/apex/CD_CourseDetailsPDF?Id=a0UIg00000JF003</t>
  </si>
  <si>
    <t>EDU-226-1.00</t>
  </si>
  <si>
    <t>Perspectives on Education</t>
  </si>
  <si>
    <t>https://mycampus.azimpremjiuniversity.edu.in/apex/CD_CourseDetailsPDF?Id=a0U2w00000g0cre</t>
  </si>
  <si>
    <t>MAT-302-1.00</t>
  </si>
  <si>
    <t>Perspectives on Teaching and Learning Mathematics</t>
  </si>
  <si>
    <t>https://mycampus.azimpremjiuniversity.edu.in/apex/CD_CourseDetailsPDF?Id=a0U2w00000g0crd</t>
  </si>
  <si>
    <t>EDU-303-1.00</t>
  </si>
  <si>
    <t>Perspectives on Teaching and Learning Science</t>
  </si>
  <si>
    <t>https://mycampus.azimpremjiuniversity.edu.in/apex/CD_CourseDetailsPDF?Id=a0U2w00000g0crh</t>
  </si>
  <si>
    <t>TCH-201-1.00</t>
  </si>
  <si>
    <t>Perspectives on Technology Deployment</t>
  </si>
  <si>
    <t>https://mycampus.azimpremjiuniversity.edu.in/apex/CD_CourseDetailsPDF?Id=a0U2w00000dDp8O</t>
  </si>
  <si>
    <t>CRX-174-2.00</t>
  </si>
  <si>
    <t>Playback Theatre And Community Building</t>
  </si>
  <si>
    <t>https://mycampus.azimpremjiuniversity.edu.in/apex/CD_CourseDetailsPDF?Id=a0U2w00000g0cl4</t>
  </si>
  <si>
    <t>POL-205-2.00</t>
  </si>
  <si>
    <t>Political Economy I: Theories and Locations of Power</t>
  </si>
  <si>
    <t>https://mycampus.azimpremjiuniversity.edu.in/apex/CD_CourseDetailsPDF?Id=a0UIg0000009qo8</t>
  </si>
  <si>
    <t>ECO-243-2.00</t>
  </si>
  <si>
    <t>Political Economy</t>
  </si>
  <si>
    <t>https://mycampus.azimpremjiuniversity.edu.in/apex/CD_CourseDetailsPDF?Id=a0U2w00000g0cje</t>
  </si>
  <si>
    <t>PHI-212-1.12</t>
  </si>
  <si>
    <t>https://mycampus.azimpremjiuniversity.edu.in/apex/CD_CourseDetailsPDF?Id=a0UIg000000NDxx</t>
  </si>
  <si>
    <t>SSC-201-1.00</t>
  </si>
  <si>
    <t>https://mycampus.azimpremjiuniversity.edu.in/apex/CD_CourseDetailsPDF?Id=a0U2w00000g0ck9</t>
  </si>
  <si>
    <t>CHM-203-1.00</t>
  </si>
  <si>
    <t>https://mycampus.azimpremjiuniversity.edu.in/apex/CD_CourseDetailsPDF?Id=a0U2w00000g0cie</t>
  </si>
  <si>
    <t>MAT-311-1.00</t>
  </si>
  <si>
    <t>Probability</t>
  </si>
  <si>
    <t>https://mycampus.azimpremjiuniversity.edu.in/apex/CD_CourseDetailsPDF?Id=a0U2w00000g0cit</t>
  </si>
  <si>
    <t>PSY-302-1.00</t>
  </si>
  <si>
    <t>https://mycampus.azimpremjiuniversity.edu.in/apex/CD_CourseDetailsPDF?Id=a0UIg00000JEjLy</t>
  </si>
  <si>
    <t>FOU-116-2.00</t>
  </si>
  <si>
    <t>Public Reasoning</t>
  </si>
  <si>
    <t>https://mycampus.azimpremjiuniversity.edu.in/apex/CD_CourseDetailsPDF?Id=a0Ufu00000ReVC4</t>
  </si>
  <si>
    <t>EVS-204-1.00</t>
  </si>
  <si>
    <t>Quantitative Environmental Research Methods and Biostatistics</t>
  </si>
  <si>
    <t>https://mycampus.azimpremjiuniversity.edu.in/apex/CD_CourseDetailsPDF?Id=a0U2w00000g0ckg</t>
  </si>
  <si>
    <t>MAT-112-1.00</t>
  </si>
  <si>
    <t>Quantitative Reasoning : Foundations</t>
  </si>
  <si>
    <t>https://mycampus.azimpremjiuniversity.edu.in/apex/CD_CourseDetailsPDF?Id=a0UIg00000JFCAy</t>
  </si>
  <si>
    <t>MTH-113-1.00</t>
  </si>
  <si>
    <t>https://mycampus.azimpremjiuniversity.edu.in/apex/CD_CourseDetailsPDF?Id=a0UIg000000OgsZ</t>
  </si>
  <si>
    <t>PHY-308-1.00</t>
  </si>
  <si>
    <t>Quantum Mechanics</t>
  </si>
  <si>
    <t>https://mycampus.azimpremjiuniversity.edu.in/apex/CD_CourseDetailsPDF?Id=a0U2w00000g0cj8</t>
  </si>
  <si>
    <t>MAT-320-1.00</t>
  </si>
  <si>
    <t>Real Analysis</t>
  </si>
  <si>
    <t>https://mycampus.azimpremjiuniversity.edu.in/apex/CD_CourseDetailsPDF?Id=a0UIg000000Nh7f</t>
  </si>
  <si>
    <t>CSN-301-1.00</t>
  </si>
  <si>
    <t>Restoration and rewilding</t>
  </si>
  <si>
    <t>https://mycampus.azimpremjiuniversity.edu.in/apex/CD_CourseDetailsPDF?Id=a0U2w00000dDMis</t>
  </si>
  <si>
    <t>CRX-192-2.01</t>
  </si>
  <si>
    <t>Run - Eat - Sleep - Repeat</t>
  </si>
  <si>
    <t>https://mycampus.azimpremjiuniversity.edu.in/apex/CD_CourseDetailsPDF?Id=a0Ufu00000PUjcP</t>
  </si>
  <si>
    <t>CRX-224-2.01</t>
  </si>
  <si>
    <t>Salsa</t>
  </si>
  <si>
    <t>https://mycampus.azimpremjiuniversity.edu.in/apex/CD_CourseDetailsPDF?Id=a0UIg000000NFJr</t>
  </si>
  <si>
    <t>PHI-400-1.00</t>
  </si>
  <si>
    <t>Science and Society</t>
  </si>
  <si>
    <t>https://mycampus.azimpremjiuniversity.edu.in/apex/CD_CourseDetailsPDF?Id=a0Ufu00000Lx5Qz</t>
  </si>
  <si>
    <t>SSC-101-1.00</t>
  </si>
  <si>
    <t>https://mycampus.azimpremjiuniversity.edu.in/apex/CD_CourseDetailsPDF?Id=a0U2w00000g0ck8</t>
  </si>
  <si>
    <t>DSN-301-1.00</t>
  </si>
  <si>
    <t>Sensors and Actuators: Actions and Responses</t>
  </si>
  <si>
    <t>https://mycampus.azimpremjiuniversity.edu.in/apex/CD_CourseDetailsPDF?Id=a0U2w00000dDNgD</t>
  </si>
  <si>
    <t>CRX-194-2.00</t>
  </si>
  <si>
    <t>Silambattam</t>
  </si>
  <si>
    <t>https://mycampus.azimpremjiuniversity.edu.in/apex/CD_CourseDetailsPDF?Id=a0U2w00000g0clM</t>
  </si>
  <si>
    <t>CRX-238-1.01</t>
  </si>
  <si>
    <t>Singing 101</t>
  </si>
  <si>
    <t>https://mycampus.azimpremjiuniversity.edu.in/apex/CD_CourseDetailsPDF?Id=a0UIg000000NEQ5</t>
  </si>
  <si>
    <t>CEX-107-1.00</t>
  </si>
  <si>
    <t>Sketching and Watercolour</t>
  </si>
  <si>
    <t>https://mycampus.azimpremjiuniversity.edu.in/apex/CD_CourseDetailsPDF?Id=a0UIg000000P07X</t>
  </si>
  <si>
    <t>PSY-205-1.00</t>
  </si>
  <si>
    <t>Social Psychology</t>
  </si>
  <si>
    <t>https://mycampus.azimpremjiuniversity.edu.in/apex/CD_CourseDetailsPDF?Id=a0UIg000000O40Q</t>
  </si>
  <si>
    <t>ISC-206-1.00</t>
  </si>
  <si>
    <t>Software Tools and Practices</t>
  </si>
  <si>
    <t>LNG-104-1.00</t>
  </si>
  <si>
    <t>https://mycampus.azimpremjiuniversity.edu.in/apex/CD_CourseDetailsPDF?Id=a0U2w00000g0clw</t>
  </si>
  <si>
    <t>MTH-202-1.00</t>
  </si>
  <si>
    <t>Statistical Methods with R</t>
  </si>
  <si>
    <t>https://mycampus.azimpremjiuniversity.edu.in/apex/CD_CourseDetailsPDF?Id=a0U2w00000g0cm7</t>
  </si>
  <si>
    <t>DDD-337-1.00</t>
  </si>
  <si>
    <t>Statistical principles through computation</t>
  </si>
  <si>
    <t>https://mycampus.azimpremjiuniversity.edu.in/apex/CD_CourseDetailsPDF?Id=a0U2w00000g0coT</t>
  </si>
  <si>
    <t>EVS-206-1.01</t>
  </si>
  <si>
    <t>https://mycampus.azimpremjiuniversity.edu.in/apex/CD_CourseDetailsPDF?Id=a0UIg00000apuaY</t>
  </si>
  <si>
    <t>CRX-190-3.00</t>
  </si>
  <si>
    <t>Sustainable Way Of Growing Food</t>
  </si>
  <si>
    <t>https://mycampus.azimpremjiuniversity.edu.in/apex/CD_CourseDetailsPDF?Id=a0Ufu000009J1w5</t>
  </si>
  <si>
    <t>ISC-302-1.00</t>
  </si>
  <si>
    <t>Systems Programming (User view)</t>
  </si>
  <si>
    <t>MUS-301-2.00</t>
  </si>
  <si>
    <t>Technology for the Music Educator</t>
  </si>
  <si>
    <t>https://mycampus.azimpremjiuniversity.edu.in/apex/CD_CourseDetailsPDF?Id=a0Ufu00000KXqHJ</t>
  </si>
  <si>
    <t>FOU-119-1.00</t>
  </si>
  <si>
    <t>https://mycampus.azimpremjiuniversity.edu.in/apex/CD_CourseDetailsPDF?Id=a0Ufu000004QHcQ</t>
  </si>
  <si>
    <t>ISC-101-2.00</t>
  </si>
  <si>
    <t>SCI-400-1.00</t>
  </si>
  <si>
    <t>The Emergence of Complexity</t>
  </si>
  <si>
    <t>https://mycampus.azimpremjiuniversity.edu.in/apex/CD_CourseDetailsPDF?Id=a0Ufu00000N483N</t>
  </si>
  <si>
    <t>UIN-119-2.00</t>
  </si>
  <si>
    <t>The Many Pasts of India's Present</t>
  </si>
  <si>
    <t>https://mycampus.azimpremjiuniversity.edu.in/apex/CD_CourseDetailsPDF?Id=a0Ufu00000CPYyr</t>
  </si>
  <si>
    <t>UIN-117-1.00</t>
  </si>
  <si>
    <t>The Measure of India</t>
  </si>
  <si>
    <t>https://mycampus.azimpremjiuniversity.edu.in/apex/CD_CourseDetailsPDF?Id=a0UIg000000NPev</t>
  </si>
  <si>
    <t>STC-201-1.00</t>
  </si>
  <si>
    <t>https://mycampus.azimpremjiuniversity.edu.in/apex/CD_CourseDetailsPDF?Id=a0U2w00000dDb3S</t>
  </si>
  <si>
    <t>CRX-240-1.00</t>
  </si>
  <si>
    <t>The Selfie: Text &amp; Image</t>
  </si>
  <si>
    <t>https://mycampus.azimpremjiuniversity.edu.in/apex/CD_CourseDetailsPDF?Id=a0U2w00000dDlSz</t>
  </si>
  <si>
    <t>CEX-117-1.00</t>
  </si>
  <si>
    <t>The Thinking Body - An Introduction to Physical Theatre</t>
  </si>
  <si>
    <t>https://mycampus.azimpremjiuniversity.edu.in/apex/CD_CourseDetailsPDF?Id=a0Ufu00000RVFpe</t>
  </si>
  <si>
    <t>FOU-117-1.01</t>
  </si>
  <si>
    <t>The World of Computing</t>
  </si>
  <si>
    <t>https://mycampus.azimpremjiuniversity.edu.in/apex/CD_CourseDetailsPDF?Id=a0Ufu00000MqucX</t>
  </si>
  <si>
    <t>STC-301-1.00</t>
  </si>
  <si>
    <t>https://mycampus.azimpremjiuniversity.edu.in/apex/CD_CourseDetailsPDF?Id=a0U2w00000dDb5a</t>
  </si>
  <si>
    <t>CHM-301-1.00</t>
  </si>
  <si>
    <t>Thermodynamics and Kinetics</t>
  </si>
  <si>
    <t>https://mycampus.azimpremjiuniversity.edu.in/apex/CD_CourseDetailsPDF?Id=a0U2w00000g0cif</t>
  </si>
  <si>
    <t>PHY-307-1.00</t>
  </si>
  <si>
    <t>Thermodynamics and Statistical Physics</t>
  </si>
  <si>
    <t>https://mycampus.azimpremjiuniversity.edu.in/apex/CD_CourseDetailsPDF?Id=a0U2w00000g0cj7</t>
  </si>
  <si>
    <t>CEX-108-1.00</t>
  </si>
  <si>
    <t>Typography and Graphic Design</t>
  </si>
  <si>
    <t>https://mycampus.azimpremjiuniversity.edu.in/apex/CD_CourseDetailsPDF?Id=a0UIg000000P07r</t>
  </si>
  <si>
    <t>CRX-245-1.02</t>
  </si>
  <si>
    <t>Ultimate Frisbee</t>
  </si>
  <si>
    <t>https://mycampus.azimpremjiuniversity.edu.in/apex/CD_CourseDetailsPDF?Id=a0Ufu00000PUZ0O</t>
  </si>
  <si>
    <t>PHI-305-1.00</t>
  </si>
  <si>
    <t>https://mycampus.azimpremjiuniversity.edu.in/apex/CD_CourseDetailsPDF?Id=a0U2w00000g0ck1</t>
  </si>
  <si>
    <t>CRX-182-2.01</t>
  </si>
  <si>
    <t>Understanding Rhythms</t>
  </si>
  <si>
    <t>BIO-133-1.00</t>
  </si>
  <si>
    <t>https://mycampus.azimpremjiuniversity.edu.in/apex/CD_CourseDetailsPDF?Id=a0U2w00000dCQ4i</t>
  </si>
  <si>
    <t>UIN-118-2.00</t>
  </si>
  <si>
    <t>Who is an Indian?</t>
  </si>
  <si>
    <t>https://mycampus.azimpremjiuniversity.edu.in/apex/CD_CourseDetailsPDF?Id=a0Ufu00000AQrPX</t>
  </si>
  <si>
    <t>CRX-237-1.00</t>
  </si>
  <si>
    <t>Woodworking: Thinking Hands</t>
  </si>
  <si>
    <t>https://mycampus.azimpremjiuniversity.edu.in/apex/CD_CourseDetailsPDF?Id=a0UIg0000009W6D</t>
  </si>
  <si>
    <t>ENG-209-1.00</t>
  </si>
  <si>
    <t>Word, Sound, Image</t>
  </si>
  <si>
    <t>https://mycampus.azimpremjiuniversity.edu.in/apex/CD_CourseDetailsPDF?Id=a0UIg000000NXPy</t>
  </si>
  <si>
    <t>CEX-122-1.00</t>
  </si>
  <si>
    <t>Yakshagana - Dance, Drama and Dialogue</t>
  </si>
  <si>
    <t>https://mycampus.azimpremjiuniversity.edu.in/apex/CD_CourseDetailsPDF?Id=a0Ufu00000UCZ0n</t>
  </si>
  <si>
    <t>CEX-109-1.01</t>
  </si>
  <si>
    <t>Yoga as a Life Skill</t>
  </si>
  <si>
    <t>CEX-114-2.00</t>
  </si>
  <si>
    <t>Zine and Comic Making</t>
  </si>
  <si>
    <t>https://mycampus.azimpremjiuniversity.edu.in/apex/CD_CourseDetailsPDF?Id=a0Ufu00000Vm4Yv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</si>
</sst>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mbria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Cambria"/>
    </font>
    <font>
      <u/>
      <sz val="11.0"/>
      <color rgb="FF0000FF"/>
      <name val="Arial"/>
    </font>
    <font>
      <b/>
      <i/>
      <sz val="10.0"/>
      <color theme="1"/>
      <name val="Arial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2" fontId="1" numFmtId="0" xfId="0" applyAlignment="1" applyBorder="1" applyFont="1">
      <alignment horizontal="center" vertical="center"/>
    </xf>
    <xf borderId="0" fillId="0" fontId="3" numFmtId="0" xfId="0" applyFont="1"/>
    <xf borderId="2" fillId="2" fontId="1" numFmtId="0" xfId="0" applyAlignment="1" applyBorder="1" applyFont="1">
      <alignment horizontal="center" readingOrder="0" vertical="center"/>
    </xf>
    <xf borderId="3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0" fontId="5" numFmtId="0" xfId="0" applyAlignment="1" applyFont="1">
      <alignment readingOrder="0"/>
    </xf>
    <xf borderId="1" fillId="3" fontId="4" numFmtId="0" xfId="0" applyAlignment="1" applyBorder="1" applyFont="1">
      <alignment horizontal="center" vertical="center"/>
    </xf>
    <xf borderId="0" fillId="0" fontId="6" numFmtId="0" xfId="0" applyFont="1"/>
    <xf borderId="0" fillId="0" fontId="7" numFmtId="0" xfId="0" applyFont="1"/>
    <xf borderId="1" fillId="3" fontId="4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ycampus.azimpremjiuniversity.edu.in/apex/CD_CourseDetailsPDF?Id=a0U2w00000g0ckd" TargetMode="External"/><Relationship Id="rId42" Type="http://schemas.openxmlformats.org/officeDocument/2006/relationships/hyperlink" Target="https://mycampus.azimpremjiuniversity.edu.in/apex/CD_CourseDetailsPDF?Id=a0U2w00000g0cm8" TargetMode="External"/><Relationship Id="rId41" Type="http://schemas.openxmlformats.org/officeDocument/2006/relationships/hyperlink" Target="https://mycampus.azimpremjiuniversity.edu.in/apex/CD_CourseDetailsPDF?Id=a0U2w00000g0cmN" TargetMode="External"/><Relationship Id="rId44" Type="http://schemas.openxmlformats.org/officeDocument/2006/relationships/hyperlink" Target="https://mycampus.azimpremjiuniversity.edu.in/apex/CD_CourseDetailsPDF?Id=a0U2w00000g0cj2" TargetMode="External"/><Relationship Id="rId43" Type="http://schemas.openxmlformats.org/officeDocument/2006/relationships/hyperlink" Target="https://mycampus.azimpremjiuniversity.edu.in/apex/CD_CourseDetailsPDF?Id=a0U2w00000dDUdY" TargetMode="External"/><Relationship Id="rId46" Type="http://schemas.openxmlformats.org/officeDocument/2006/relationships/hyperlink" Target="https://mycampus.azimpremjiuniversity.edu.in/apex/CD_CourseDetailsPDF?Id=a0UIg000000OJs7" TargetMode="External"/><Relationship Id="rId45" Type="http://schemas.openxmlformats.org/officeDocument/2006/relationships/hyperlink" Target="https://mycampus.azimpremjiuniversity.edu.in/apex/CD_CourseDetailsPDF?Id=a0U2w00000g0coX" TargetMode="External"/><Relationship Id="rId107" Type="http://schemas.openxmlformats.org/officeDocument/2006/relationships/hyperlink" Target="https://mycampus.azimpremjiuniversity.edu.in/apex/CD_CourseDetailsPDF?Id=a0U2w00000g0ckQ" TargetMode="External"/><Relationship Id="rId106" Type="http://schemas.openxmlformats.org/officeDocument/2006/relationships/hyperlink" Target="https://mycampus.azimpremjiuniversity.edu.in/apex/CD_CourseDetailsPDF?Id=a0U2w00000g0cjU" TargetMode="External"/><Relationship Id="rId105" Type="http://schemas.openxmlformats.org/officeDocument/2006/relationships/hyperlink" Target="https://mycampus.azimpremjiuniversity.edu.in/apex/CD_CourseDetailsPDF?Id=a0UIg000000NguI" TargetMode="External"/><Relationship Id="rId104" Type="http://schemas.openxmlformats.org/officeDocument/2006/relationships/hyperlink" Target="https://mycampus.azimpremjiuniversity.edu.in/apex/CD_CourseDetailsPDF?Id=a0UIg00000apum8" TargetMode="External"/><Relationship Id="rId109" Type="http://schemas.openxmlformats.org/officeDocument/2006/relationships/hyperlink" Target="https://mycampus.azimpremjiuniversity.edu.in/apex/CD_CourseDetailsPDF?Id=a0UIg0000009zr0" TargetMode="External"/><Relationship Id="rId108" Type="http://schemas.openxmlformats.org/officeDocument/2006/relationships/hyperlink" Target="https://mycampus.azimpremjiuniversity.edu.in/apex/CD_CourseDetailsPDF?Id=a0U2w00000dDUeQ" TargetMode="External"/><Relationship Id="rId48" Type="http://schemas.openxmlformats.org/officeDocument/2006/relationships/hyperlink" Target="https://mycampus.azimpremjiuniversity.edu.in/apex/CD_CourseDetailsPDF?Id=a0U2w00000g0ck5" TargetMode="External"/><Relationship Id="rId47" Type="http://schemas.openxmlformats.org/officeDocument/2006/relationships/hyperlink" Target="https://mycampus.azimpremjiuniversity.edu.in/apex/CD_CourseDetailsPDF?Id=a0UIg00000apVvq" TargetMode="External"/><Relationship Id="rId49" Type="http://schemas.openxmlformats.org/officeDocument/2006/relationships/hyperlink" Target="https://mycampus.azimpremjiuniversity.edu.in/apex/CD_CourseDetailsPDF?Id=a0U2w00000g0cke" TargetMode="External"/><Relationship Id="rId103" Type="http://schemas.openxmlformats.org/officeDocument/2006/relationships/hyperlink" Target="https://mycampus.azimpremjiuniversity.edu.in/apex/CD_CourseDetailsPDF?Id=a0Ufu000009oOTN" TargetMode="External"/><Relationship Id="rId102" Type="http://schemas.openxmlformats.org/officeDocument/2006/relationships/hyperlink" Target="https://mycampus.azimpremjiuniversity.edu.in/apex/CD_CourseDetailsPDF?Id=a0U2w00000g0ck7" TargetMode="External"/><Relationship Id="rId101" Type="http://schemas.openxmlformats.org/officeDocument/2006/relationships/hyperlink" Target="https://mycampus.azimpremjiuniversity.edu.in/apex/CD_CourseDetailsPDF?Id=a0UIg000000NDzD" TargetMode="External"/><Relationship Id="rId100" Type="http://schemas.openxmlformats.org/officeDocument/2006/relationships/hyperlink" Target="https://mycampus.azimpremjiuniversity.edu.in/apex/CD_CourseDetailsPDF?Id=a0U2w00000dCQ4j" TargetMode="External"/><Relationship Id="rId31" Type="http://schemas.openxmlformats.org/officeDocument/2006/relationships/hyperlink" Target="https://mycampus.azimpremjiuniversity.edu.in/apex/CD_CourseDetailsPDF?Id=a0UIg000000OGW3" TargetMode="External"/><Relationship Id="rId30" Type="http://schemas.openxmlformats.org/officeDocument/2006/relationships/hyperlink" Target="https://mycampus.azimpremjiuniversity.edu.in/apex/CD_CourseDetailsPDF?Id=a0U2w00000g0ckF" TargetMode="External"/><Relationship Id="rId33" Type="http://schemas.openxmlformats.org/officeDocument/2006/relationships/hyperlink" Target="https://mycampus.azimpremjiuniversity.edu.in/apex/CD_CourseDetailsPDF?Id=a0U2w00000g0coS" TargetMode="External"/><Relationship Id="rId32" Type="http://schemas.openxmlformats.org/officeDocument/2006/relationships/hyperlink" Target="https://mycampus.azimpremjiuniversity.edu.in/apex/CD_CourseDetailsPDF?Id=a0Ufu00000SEsOc" TargetMode="External"/><Relationship Id="rId35" Type="http://schemas.openxmlformats.org/officeDocument/2006/relationships/hyperlink" Target="https://mycampus.azimpremjiuniversity.edu.in/apex/CD_CourseDetailsPDF?Id=a0UIg000000OfP1" TargetMode="External"/><Relationship Id="rId34" Type="http://schemas.openxmlformats.org/officeDocument/2006/relationships/hyperlink" Target="https://mycampus.azimpremjiuniversity.edu.in/apex/CD_CourseDetailsPDF?Id=a0UIg00000JEjLp" TargetMode="External"/><Relationship Id="rId37" Type="http://schemas.openxmlformats.org/officeDocument/2006/relationships/hyperlink" Target="https://mycampus.azimpremjiuniversity.edu.in/apex/CD_CourseDetailsPDF?Id=a0Ufu00000S5DNv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mycampus.azimpremjiuniversity.edu.in/apex/CD_CourseDetailsPDF?Id=a0UIg00000JF7gX" TargetMode="External"/><Relationship Id="rId175" Type="http://schemas.openxmlformats.org/officeDocument/2006/relationships/hyperlink" Target="https://mycampus.azimpremjiuniversity.edu.in/apex/CD_CourseDetailsPDF?Id=a0Ufu00000Vm4Yv" TargetMode="External"/><Relationship Id="rId39" Type="http://schemas.openxmlformats.org/officeDocument/2006/relationships/hyperlink" Target="https://mycampus.azimpremjiuniversity.edu.in/apex/CD_CourseDetailsPDF?Id=a0U2w00000g0ciW" TargetMode="External"/><Relationship Id="rId174" Type="http://schemas.openxmlformats.org/officeDocument/2006/relationships/hyperlink" Target="https://mycampus.azimpremjiuniversity.edu.in/apex/CD_CourseDetailsPDF?Id=a0Ufu00000UCZ0n" TargetMode="External"/><Relationship Id="rId38" Type="http://schemas.openxmlformats.org/officeDocument/2006/relationships/hyperlink" Target="https://mycampus.azimpremjiuniversity.edu.in/apex/CD_CourseDetailsPDF?Id=a0UIg000000BHsM" TargetMode="External"/><Relationship Id="rId173" Type="http://schemas.openxmlformats.org/officeDocument/2006/relationships/hyperlink" Target="https://mycampus.azimpremjiuniversity.edu.in/apex/CD_CourseDetailsPDF?Id=a0UIg000000NXPy" TargetMode="External"/><Relationship Id="rId20" Type="http://schemas.openxmlformats.org/officeDocument/2006/relationships/hyperlink" Target="https://mycampus.azimpremjiuniversity.edu.in/apex/CD_CourseDetailsPDF?Id=a0U2w00000g0ciO" TargetMode="External"/><Relationship Id="rId22" Type="http://schemas.openxmlformats.org/officeDocument/2006/relationships/hyperlink" Target="https://mycampus.azimpremjiuniversity.edu.in/apex/CD_CourseDetailsPDF?Id=a0U2w00000g0cjQ" TargetMode="External"/><Relationship Id="rId21" Type="http://schemas.openxmlformats.org/officeDocument/2006/relationships/hyperlink" Target="https://mycampus.azimpremjiuniversity.edu.in/apex/CD_CourseDetailsPDF?Id=a0U2w00000g0cqs" TargetMode="External"/><Relationship Id="rId24" Type="http://schemas.openxmlformats.org/officeDocument/2006/relationships/hyperlink" Target="https://mycampus.azimpremjiuniversity.edu.in/apex/CD_CourseDetailsPDF?Id=a0Ufu00000N4261" TargetMode="External"/><Relationship Id="rId23" Type="http://schemas.openxmlformats.org/officeDocument/2006/relationships/hyperlink" Target="https://mycampus.azimpremjiuniversity.edu.in/apex/CD_CourseDetailsPDF?Id=a0U2w00000g0cjC" TargetMode="External"/><Relationship Id="rId129" Type="http://schemas.openxmlformats.org/officeDocument/2006/relationships/hyperlink" Target="https://mycampus.azimpremjiuniversity.edu.in/apex/CD_CourseDetailsPDF?Id=a0UIg000000NDxx" TargetMode="External"/><Relationship Id="rId128" Type="http://schemas.openxmlformats.org/officeDocument/2006/relationships/hyperlink" Target="https://mycampus.azimpremjiuniversity.edu.in/apex/CD_CourseDetailsPDF?Id=a0U2w00000g0cje" TargetMode="External"/><Relationship Id="rId127" Type="http://schemas.openxmlformats.org/officeDocument/2006/relationships/hyperlink" Target="https://mycampus.azimpremjiuniversity.edu.in/apex/CD_CourseDetailsPDF?Id=a0UIg0000009qo8" TargetMode="External"/><Relationship Id="rId126" Type="http://schemas.openxmlformats.org/officeDocument/2006/relationships/hyperlink" Target="https://mycampus.azimpremjiuniversity.edu.in/apex/CD_CourseDetailsPDF?Id=a0U2w00000g0cl4" TargetMode="External"/><Relationship Id="rId26" Type="http://schemas.openxmlformats.org/officeDocument/2006/relationships/hyperlink" Target="https://mycampus.azimpremjiuniversity.edu.in/apex/CD_CourseDetailsPDF?Id=a0UIg000000NDxs" TargetMode="External"/><Relationship Id="rId121" Type="http://schemas.openxmlformats.org/officeDocument/2006/relationships/hyperlink" Target="https://mycampus.azimpremjiuniversity.edu.in/apex/CD_CourseDetailsPDF?Id=a0UIg00000JF003" TargetMode="External"/><Relationship Id="rId25" Type="http://schemas.openxmlformats.org/officeDocument/2006/relationships/hyperlink" Target="https://mycampus.azimpremjiuniversity.edu.in/apex/CD_CourseDetailsPDF?Id=a0UIg00000JF0UT" TargetMode="External"/><Relationship Id="rId120" Type="http://schemas.openxmlformats.org/officeDocument/2006/relationships/hyperlink" Target="https://mycampus.azimpremjiuniversity.edu.in/apex/CD_CourseDetailsPDF?Id=a0U2w00000dDNej" TargetMode="External"/><Relationship Id="rId28" Type="http://schemas.openxmlformats.org/officeDocument/2006/relationships/hyperlink" Target="https://mycampus.azimpremjiuniversity.edu.in/apex/CD_CourseDetailsPDF?Id=a0Ufu00000CPTMT" TargetMode="External"/><Relationship Id="rId27" Type="http://schemas.openxmlformats.org/officeDocument/2006/relationships/hyperlink" Target="https://mycampus.azimpremjiuniversity.edu.in/apex/CD_CourseDetailsPDF?Id=a0U2w00000g0cri" TargetMode="External"/><Relationship Id="rId125" Type="http://schemas.openxmlformats.org/officeDocument/2006/relationships/hyperlink" Target="https://mycampus.azimpremjiuniversity.edu.in/apex/CD_CourseDetailsPDF?Id=a0U2w00000dDp8O" TargetMode="External"/><Relationship Id="rId29" Type="http://schemas.openxmlformats.org/officeDocument/2006/relationships/hyperlink" Target="https://mycampus.azimpremjiuniversity.edu.in/apex/CD_CourseDetailsPDF?Id=a0Ufu000009Irwo" TargetMode="External"/><Relationship Id="rId124" Type="http://schemas.openxmlformats.org/officeDocument/2006/relationships/hyperlink" Target="https://mycampus.azimpremjiuniversity.edu.in/apex/CD_CourseDetailsPDF?Id=a0U2w00000g0crh" TargetMode="External"/><Relationship Id="rId123" Type="http://schemas.openxmlformats.org/officeDocument/2006/relationships/hyperlink" Target="https://mycampus.azimpremjiuniversity.edu.in/apex/CD_CourseDetailsPDF?Id=a0U2w00000g0crd" TargetMode="External"/><Relationship Id="rId122" Type="http://schemas.openxmlformats.org/officeDocument/2006/relationships/hyperlink" Target="https://mycampus.azimpremjiuniversity.edu.in/apex/CD_CourseDetailsPDF?Id=a0U2w00000g0cre" TargetMode="External"/><Relationship Id="rId95" Type="http://schemas.openxmlformats.org/officeDocument/2006/relationships/hyperlink" Target="https://mycampus.azimpremjiuniversity.edu.in/apex/CD_CourseDetailsPDF?Id=a0U2w00000dDPzh" TargetMode="External"/><Relationship Id="rId94" Type="http://schemas.openxmlformats.org/officeDocument/2006/relationships/hyperlink" Target="https://mycampus.azimpremjiuniversity.edu.in/apex/CD_CourseDetailsPDF?Id=a0Ufu00000FUhQH" TargetMode="External"/><Relationship Id="rId97" Type="http://schemas.openxmlformats.org/officeDocument/2006/relationships/hyperlink" Target="https://mycampus.azimpremjiuniversity.edu.in/apex/CD_CourseDetailsPDF?Id=a0UIg000000NDeI" TargetMode="External"/><Relationship Id="rId96" Type="http://schemas.openxmlformats.org/officeDocument/2006/relationships/hyperlink" Target="https://mycampus.azimpremjiuniversity.edu.in/apex/CD_CourseDetailsPDF?Id=a0U2w00000g0a1b" TargetMode="External"/><Relationship Id="rId11" Type="http://schemas.openxmlformats.org/officeDocument/2006/relationships/hyperlink" Target="https://mycampus.azimpremjiuniversity.edu.in/apex/CD_CourseDetailsPDF?Id=a0Ufu00000PUQYA" TargetMode="External"/><Relationship Id="rId99" Type="http://schemas.openxmlformats.org/officeDocument/2006/relationships/hyperlink" Target="https://mycampus.azimpremjiuniversity.edu.in/apex/CD_CourseDetailsPDF?Id=a0U2w00000g0ckU" TargetMode="External"/><Relationship Id="rId10" Type="http://schemas.openxmlformats.org/officeDocument/2006/relationships/hyperlink" Target="https://mycampus.azimpremjiuniversity.edu.in/apex/CD_CourseDetailsPDF?Id=a0Ufu00000MWSHT" TargetMode="External"/><Relationship Id="rId98" Type="http://schemas.openxmlformats.org/officeDocument/2006/relationships/hyperlink" Target="https://mycampus.azimpremjiuniversity.edu.in/apex/CD_CourseDetailsPDF?Id=a0UIg000000A0oY" TargetMode="External"/><Relationship Id="rId13" Type="http://schemas.openxmlformats.org/officeDocument/2006/relationships/hyperlink" Target="https://mycampus.azimpremjiuniversity.edu.in/apex/CD_CourseDetailsPDF?Id=a0Ufu00000MkRAE" TargetMode="External"/><Relationship Id="rId12" Type="http://schemas.openxmlformats.org/officeDocument/2006/relationships/hyperlink" Target="https://mycampus.azimpremjiuniversity.edu.in/apex/CD_CourseDetailsPDF?Id=a0U2w00000g0clE" TargetMode="External"/><Relationship Id="rId91" Type="http://schemas.openxmlformats.org/officeDocument/2006/relationships/hyperlink" Target="https://mycampus.azimpremjiuniversity.edu.in/apex/CD_CourseDetailsPDF?Id=a0Ufu00000MlGsg" TargetMode="External"/><Relationship Id="rId90" Type="http://schemas.openxmlformats.org/officeDocument/2006/relationships/hyperlink" Target="https://mycampus.azimpremjiuniversity.edu.in/apex/CD_CourseDetailsPDF?Id=a0UIg000000NKI8" TargetMode="External"/><Relationship Id="rId93" Type="http://schemas.openxmlformats.org/officeDocument/2006/relationships/hyperlink" Target="https://mycampus.azimpremjiuniversity.edu.in/apex/CD_CourseDetailsPDF?Id=a0U2w00000g0ciS" TargetMode="External"/><Relationship Id="rId92" Type="http://schemas.openxmlformats.org/officeDocument/2006/relationships/hyperlink" Target="https://mycampus.azimpremjiuniversity.edu.in/apex/CD_CourseDetailsPDF?Id=a0Ufu00000N3tE1" TargetMode="External"/><Relationship Id="rId118" Type="http://schemas.openxmlformats.org/officeDocument/2006/relationships/hyperlink" Target="https://mycampus.azimpremjiuniversity.edu.in/apex/CD_CourseDetailsPDF?Id=a0U2w00000g0Eee" TargetMode="External"/><Relationship Id="rId117" Type="http://schemas.openxmlformats.org/officeDocument/2006/relationships/hyperlink" Target="https://mycampus.azimpremjiuniversity.edu.in/apex/CD_CourseDetailsPDF?Id=a0Ufu00000KVeqV" TargetMode="External"/><Relationship Id="rId116" Type="http://schemas.openxmlformats.org/officeDocument/2006/relationships/hyperlink" Target="https://mycampus.azimpremjiuniversity.edu.in/apex/CD_CourseDetailsPDF?Id=a0UIg0000009tc5" TargetMode="External"/><Relationship Id="rId115" Type="http://schemas.openxmlformats.org/officeDocument/2006/relationships/hyperlink" Target="https://mycampus.azimpremjiuniversity.edu.in/apex/CD_CourseDetailsPDF?Id=a0U2w00000g0cjr" TargetMode="External"/><Relationship Id="rId119" Type="http://schemas.openxmlformats.org/officeDocument/2006/relationships/hyperlink" Target="https://mycampus.azimpremjiuniversity.edu.in/apex/CD_CourseDetailsPDF?Id=a0Ufu00000N3nLa" TargetMode="External"/><Relationship Id="rId15" Type="http://schemas.openxmlformats.org/officeDocument/2006/relationships/hyperlink" Target="https://mycampus.azimpremjiuniversity.edu.in/apex/CD_CourseDetailsPDF?Id=a0U2w00000dDlT5" TargetMode="External"/><Relationship Id="rId110" Type="http://schemas.openxmlformats.org/officeDocument/2006/relationships/hyperlink" Target="https://mycampus.azimpremjiuniversity.edu.in/apex/CD_CourseDetailsPDF?Id=a0Ufu00000RZnPm" TargetMode="External"/><Relationship Id="rId14" Type="http://schemas.openxmlformats.org/officeDocument/2006/relationships/hyperlink" Target="https://mycampus.azimpremjiuniversity.edu.in/apex/CD_CourseDetailsPDF?Id=a0Ufu00000DIJ7x" TargetMode="External"/><Relationship Id="rId17" Type="http://schemas.openxmlformats.org/officeDocument/2006/relationships/hyperlink" Target="https://mycampus.azimpremjiuniversity.edu.in/apex/CD_CourseDetailsPDF?Id=a0U2w00000g0cl0" TargetMode="External"/><Relationship Id="rId16" Type="http://schemas.openxmlformats.org/officeDocument/2006/relationships/hyperlink" Target="https://mycampus.azimpremjiuniversity.edu.in/apex/CD_CourseDetailsPDF?Id=a0UIg000000NDeD" TargetMode="External"/><Relationship Id="rId19" Type="http://schemas.openxmlformats.org/officeDocument/2006/relationships/hyperlink" Target="https://mycampus.azimpremjiuniversity.edu.in/apex/CD_CourseDetailsPDF?Id=a0UIg000000NDb5" TargetMode="External"/><Relationship Id="rId114" Type="http://schemas.openxmlformats.org/officeDocument/2006/relationships/hyperlink" Target="https://mycampus.azimpremjiuniversity.edu.in/apex/CD_CourseDetailsPDF?Id=a0Ufu00000N49Nd" TargetMode="External"/><Relationship Id="rId18" Type="http://schemas.openxmlformats.org/officeDocument/2006/relationships/hyperlink" Target="https://mycampus.azimpremjiuniversity.edu.in/apex/CD_CourseDetailsPDF?Id=a0Ufu000009OGzK" TargetMode="External"/><Relationship Id="rId113" Type="http://schemas.openxmlformats.org/officeDocument/2006/relationships/hyperlink" Target="https://mycampus.azimpremjiuniversity.edu.in/apex/CD_CourseDetailsPDF?Id=a0U2w00000g0cj3" TargetMode="External"/><Relationship Id="rId112" Type="http://schemas.openxmlformats.org/officeDocument/2006/relationships/hyperlink" Target="https://mycampus.azimpremjiuniversity.edu.in/apex/CD_CourseDetailsPDF?Id=a0U2w00000g0cj5" TargetMode="External"/><Relationship Id="rId111" Type="http://schemas.openxmlformats.org/officeDocument/2006/relationships/hyperlink" Target="https://mycampus.azimpremjiuniversity.edu.in/apex/CD_CourseDetailsPDF?Id=a0U2w00000g0cib" TargetMode="External"/><Relationship Id="rId84" Type="http://schemas.openxmlformats.org/officeDocument/2006/relationships/hyperlink" Target="https://mycampus.azimpremjiuniversity.edu.in/apex/CD_CourseDetailsPDF?Id=a0U2w00000g0cji" TargetMode="External"/><Relationship Id="rId83" Type="http://schemas.openxmlformats.org/officeDocument/2006/relationships/hyperlink" Target="https://mycampus.azimpremjiuniversity.edu.in/apex/CD_CourseDetailsPDF?Id=a0U2w00000g0ciL" TargetMode="External"/><Relationship Id="rId86" Type="http://schemas.openxmlformats.org/officeDocument/2006/relationships/hyperlink" Target="https://mycampus.azimpremjiuniversity.edu.in/apex/CD_CourseDetailsPDF?Id=a0Ufu00000N3NEE" TargetMode="External"/><Relationship Id="rId85" Type="http://schemas.openxmlformats.org/officeDocument/2006/relationships/hyperlink" Target="https://mycampus.azimpremjiuniversity.edu.in/apex/CD_CourseDetailsPDF?Id=a0UIg000000A1ak" TargetMode="External"/><Relationship Id="rId88" Type="http://schemas.openxmlformats.org/officeDocument/2006/relationships/hyperlink" Target="https://mycampus.azimpremjiuniversity.edu.in/apex/CD_CourseDetailsPDF?Id=a0U2w00000g0ckH" TargetMode="External"/><Relationship Id="rId150" Type="http://schemas.openxmlformats.org/officeDocument/2006/relationships/hyperlink" Target="https://mycampus.azimpremjiuniversity.edu.in/apex/CD_CourseDetailsPDF?Id=a0U2w00000g0clw" TargetMode="External"/><Relationship Id="rId87" Type="http://schemas.openxmlformats.org/officeDocument/2006/relationships/hyperlink" Target="https://mycampus.azimpremjiuniversity.edu.in/apex/CD_CourseDetailsPDF?Id=a0UIg000000OqE6" TargetMode="External"/><Relationship Id="rId89" Type="http://schemas.openxmlformats.org/officeDocument/2006/relationships/hyperlink" Target="https://mycampus.azimpremjiuniversity.edu.in/apex/CD_CourseDetailsPDF?Id=a0UIg000000Awl7" TargetMode="External"/><Relationship Id="rId80" Type="http://schemas.openxmlformats.org/officeDocument/2006/relationships/hyperlink" Target="https://mycampus.azimpremjiuniversity.edu.in/apex/CD_CourseDetailsPDF?Id=a0U2w00000g0cok" TargetMode="External"/><Relationship Id="rId82" Type="http://schemas.openxmlformats.org/officeDocument/2006/relationships/hyperlink" Target="https://mycampus.azimpremjiuniversity.edu.in/apex/CD_CourseDetailsPDF?Id=a0Ufu00000MmDeF" TargetMode="External"/><Relationship Id="rId81" Type="http://schemas.openxmlformats.org/officeDocument/2006/relationships/hyperlink" Target="https://mycampus.azimpremjiuniversity.edu.in/apex/CD_CourseDetailsPDF?Id=a0Ufu00000L0UI9" TargetMode="External"/><Relationship Id="rId1" Type="http://schemas.openxmlformats.org/officeDocument/2006/relationships/hyperlink" Target="https://mycampus.azimpremjiuniversity.edu.in/apex/CD_CourseDetailsPDF?Id=a0U2w00000dDp9E" TargetMode="External"/><Relationship Id="rId2" Type="http://schemas.openxmlformats.org/officeDocument/2006/relationships/hyperlink" Target="https://mycampus.azimpremjiuniversity.edu.in/apex/CD_CourseDetailsPDF?Id=a0UIg000000Nh8E" TargetMode="External"/><Relationship Id="rId3" Type="http://schemas.openxmlformats.org/officeDocument/2006/relationships/hyperlink" Target="https://mycampus.azimpremjiuniversity.edu.in/apex/CD_CourseDetailsPDF?Id=a0U2w00000g0ckD" TargetMode="External"/><Relationship Id="rId149" Type="http://schemas.openxmlformats.org/officeDocument/2006/relationships/hyperlink" Target="https://mycampus.azimpremjiuniversity.edu.in/apex/CD_CourseDetailsPDF?Id=a0UIg000000O40Q" TargetMode="External"/><Relationship Id="rId4" Type="http://schemas.openxmlformats.org/officeDocument/2006/relationships/hyperlink" Target="https://mycampus.azimpremjiuniversity.edu.in/apex/CD_CourseDetailsPDF?Id=a0UIg000000NYHM" TargetMode="External"/><Relationship Id="rId148" Type="http://schemas.openxmlformats.org/officeDocument/2006/relationships/hyperlink" Target="https://mycampus.azimpremjiuniversity.edu.in/apex/CD_CourseDetailsPDF?Id=a0UIg000000P07X" TargetMode="External"/><Relationship Id="rId9" Type="http://schemas.openxmlformats.org/officeDocument/2006/relationships/hyperlink" Target="https://mycampus.azimpremjiuniversity.edu.in/apex/CD_CourseDetailsPDF?Id=a0U2w00000g0ckI" TargetMode="External"/><Relationship Id="rId143" Type="http://schemas.openxmlformats.org/officeDocument/2006/relationships/hyperlink" Target="https://mycampus.azimpremjiuniversity.edu.in/apex/CD_CourseDetailsPDF?Id=a0Ufu00000Lx5Qz" TargetMode="External"/><Relationship Id="rId142" Type="http://schemas.openxmlformats.org/officeDocument/2006/relationships/hyperlink" Target="https://mycampus.azimpremjiuniversity.edu.in/apex/CD_CourseDetailsPDF?Id=a0UIg000000NFJr" TargetMode="External"/><Relationship Id="rId141" Type="http://schemas.openxmlformats.org/officeDocument/2006/relationships/hyperlink" Target="https://mycampus.azimpremjiuniversity.edu.in/apex/CD_CourseDetailsPDF?Id=a0Ufu00000PUjcP" TargetMode="External"/><Relationship Id="rId140" Type="http://schemas.openxmlformats.org/officeDocument/2006/relationships/hyperlink" Target="https://mycampus.azimpremjiuniversity.edu.in/apex/CD_CourseDetailsPDF?Id=a0U2w00000dDMis" TargetMode="External"/><Relationship Id="rId5" Type="http://schemas.openxmlformats.org/officeDocument/2006/relationships/hyperlink" Target="https://mycampus.azimpremjiuniversity.edu.in/apex/CD_CourseDetailsPDF?Id=a0UIg000000B94w" TargetMode="External"/><Relationship Id="rId147" Type="http://schemas.openxmlformats.org/officeDocument/2006/relationships/hyperlink" Target="https://mycampus.azimpremjiuniversity.edu.in/apex/CD_CourseDetailsPDF?Id=a0UIg000000NEQ5" TargetMode="External"/><Relationship Id="rId6" Type="http://schemas.openxmlformats.org/officeDocument/2006/relationships/hyperlink" Target="https://mycampus.azimpremjiuniversity.edu.in/apex/CD_CourseDetailsPDF?Id=a0U2w00000g0ciu" TargetMode="External"/><Relationship Id="rId146" Type="http://schemas.openxmlformats.org/officeDocument/2006/relationships/hyperlink" Target="https://mycampus.azimpremjiuniversity.edu.in/apex/CD_CourseDetailsPDF?Id=a0U2w00000g0clM" TargetMode="External"/><Relationship Id="rId7" Type="http://schemas.openxmlformats.org/officeDocument/2006/relationships/hyperlink" Target="https://mycampus.azimpremjiuniversity.edu.in/apex/CD_CourseDetailsPDF?Id=a0U2w00000g0ciX" TargetMode="External"/><Relationship Id="rId145" Type="http://schemas.openxmlformats.org/officeDocument/2006/relationships/hyperlink" Target="https://mycampus.azimpremjiuniversity.edu.in/apex/CD_CourseDetailsPDF?Id=a0U2w00000dDNgD" TargetMode="External"/><Relationship Id="rId8" Type="http://schemas.openxmlformats.org/officeDocument/2006/relationships/hyperlink" Target="https://mycampus.azimpremjiuniversity.edu.in/apex/CD_CourseDetailsPDF?Id=a0Ufu00000N46j7" TargetMode="External"/><Relationship Id="rId144" Type="http://schemas.openxmlformats.org/officeDocument/2006/relationships/hyperlink" Target="https://mycampus.azimpremjiuniversity.edu.in/apex/CD_CourseDetailsPDF?Id=a0U2w00000g0ck8" TargetMode="External"/><Relationship Id="rId73" Type="http://schemas.openxmlformats.org/officeDocument/2006/relationships/hyperlink" Target="https://mycampus.azimpremjiuniversity.edu.in/apex/CD_CourseDetailsPDF?Id=a0U2w00000g0cih" TargetMode="External"/><Relationship Id="rId72" Type="http://schemas.openxmlformats.org/officeDocument/2006/relationships/hyperlink" Target="https://mycampus.azimpremjiuniversity.edu.in/apex/CD_CourseDetailsPDF?Id=a0U2w00000g0ckE" TargetMode="External"/><Relationship Id="rId75" Type="http://schemas.openxmlformats.org/officeDocument/2006/relationships/hyperlink" Target="https://mycampus.azimpremjiuniversity.edu.in/apex/CD_CourseDetailsPDF?Id=a0U2w00000g0cjN" TargetMode="External"/><Relationship Id="rId74" Type="http://schemas.openxmlformats.org/officeDocument/2006/relationships/hyperlink" Target="https://mycampus.azimpremjiuniversity.edu.in/apex/CD_CourseDetailsPDF?Id=a0U2w00000g0cjf" TargetMode="External"/><Relationship Id="rId77" Type="http://schemas.openxmlformats.org/officeDocument/2006/relationships/hyperlink" Target="https://mycampus.azimpremjiuniversity.edu.in/apex/CD_CourseDetailsPDF?Id=a0Ufu00000KYG21" TargetMode="External"/><Relationship Id="rId76" Type="http://schemas.openxmlformats.org/officeDocument/2006/relationships/hyperlink" Target="https://mycampus.azimpremjiuniversity.edu.in/apex/CD_CourseDetailsPDF?Id=a0UIg00000JF1hG" TargetMode="External"/><Relationship Id="rId79" Type="http://schemas.openxmlformats.org/officeDocument/2006/relationships/hyperlink" Target="https://mycampus.azimpremjiuniversity.edu.in/apex/CD_CourseDetailsPDF?Id=a0UIg000000NDc2" TargetMode="External"/><Relationship Id="rId78" Type="http://schemas.openxmlformats.org/officeDocument/2006/relationships/hyperlink" Target="https://mycampus.azimpremjiuniversity.edu.in/apex/CD_CourseDetailsPDF?Id=a0U2w00000dDMi7" TargetMode="External"/><Relationship Id="rId71" Type="http://schemas.openxmlformats.org/officeDocument/2006/relationships/hyperlink" Target="https://mycampus.azimpremjiuniversity.edu.in/apex/CD_CourseDetailsPDF?Id=a0U2w00000g0cjM" TargetMode="External"/><Relationship Id="rId70" Type="http://schemas.openxmlformats.org/officeDocument/2006/relationships/hyperlink" Target="https://mycampus.azimpremjiuniversity.edu.in/apex/CD_CourseDetailsPDF?Id=a0UIg000000Nykp" TargetMode="External"/><Relationship Id="rId139" Type="http://schemas.openxmlformats.org/officeDocument/2006/relationships/hyperlink" Target="https://mycampus.azimpremjiuniversity.edu.in/apex/CD_CourseDetailsPDF?Id=a0UIg000000Nh7f" TargetMode="External"/><Relationship Id="rId138" Type="http://schemas.openxmlformats.org/officeDocument/2006/relationships/hyperlink" Target="https://mycampus.azimpremjiuniversity.edu.in/apex/CD_CourseDetailsPDF?Id=a0U2w00000g0cj8" TargetMode="External"/><Relationship Id="rId137" Type="http://schemas.openxmlformats.org/officeDocument/2006/relationships/hyperlink" Target="https://mycampus.azimpremjiuniversity.edu.in/apex/CD_CourseDetailsPDF?Id=a0UIg000000OgsZ" TargetMode="External"/><Relationship Id="rId132" Type="http://schemas.openxmlformats.org/officeDocument/2006/relationships/hyperlink" Target="https://mycampus.azimpremjiuniversity.edu.in/apex/CD_CourseDetailsPDF?Id=a0U2w00000g0cit" TargetMode="External"/><Relationship Id="rId131" Type="http://schemas.openxmlformats.org/officeDocument/2006/relationships/hyperlink" Target="https://mycampus.azimpremjiuniversity.edu.in/apex/CD_CourseDetailsPDF?Id=a0U2w00000g0cie" TargetMode="External"/><Relationship Id="rId130" Type="http://schemas.openxmlformats.org/officeDocument/2006/relationships/hyperlink" Target="https://mycampus.azimpremjiuniversity.edu.in/apex/CD_CourseDetailsPDF?Id=a0U2w00000g0ck9" TargetMode="External"/><Relationship Id="rId136" Type="http://schemas.openxmlformats.org/officeDocument/2006/relationships/hyperlink" Target="https://mycampus.azimpremjiuniversity.edu.in/apex/CD_CourseDetailsPDF?Id=a0UIg00000JFCAy" TargetMode="External"/><Relationship Id="rId135" Type="http://schemas.openxmlformats.org/officeDocument/2006/relationships/hyperlink" Target="https://mycampus.azimpremjiuniversity.edu.in/apex/CD_CourseDetailsPDF?Id=a0U2w00000g0ckg" TargetMode="External"/><Relationship Id="rId134" Type="http://schemas.openxmlformats.org/officeDocument/2006/relationships/hyperlink" Target="https://mycampus.azimpremjiuniversity.edu.in/apex/CD_CourseDetailsPDF?Id=a0Ufu00000ReVC4" TargetMode="External"/><Relationship Id="rId133" Type="http://schemas.openxmlformats.org/officeDocument/2006/relationships/hyperlink" Target="https://mycampus.azimpremjiuniversity.edu.in/apex/CD_CourseDetailsPDF?Id=a0UIg00000JEjLy" TargetMode="External"/><Relationship Id="rId62" Type="http://schemas.openxmlformats.org/officeDocument/2006/relationships/hyperlink" Target="https://mycampus.azimpremjiuniversity.edu.in/apex/CD_CourseDetailsPDF?Id=a0U2w00000dDbFp" TargetMode="External"/><Relationship Id="rId61" Type="http://schemas.openxmlformats.org/officeDocument/2006/relationships/hyperlink" Target="https://mycampus.azimpremjiuniversity.edu.in/apex/CD_CourseDetailsPDF?Id=a0U2w00000g0cik" TargetMode="External"/><Relationship Id="rId64" Type="http://schemas.openxmlformats.org/officeDocument/2006/relationships/hyperlink" Target="https://mycampus.azimpremjiuniversity.edu.in/apex/CD_CourseDetailsPDF?Id=a0U2w00000g0ckj" TargetMode="External"/><Relationship Id="rId63" Type="http://schemas.openxmlformats.org/officeDocument/2006/relationships/hyperlink" Target="https://mycampus.azimpremjiuniversity.edu.in/apex/CD_CourseDetailsPDF?Id=a0Ufu00000KzhuA" TargetMode="External"/><Relationship Id="rId66" Type="http://schemas.openxmlformats.org/officeDocument/2006/relationships/hyperlink" Target="https://mycampus.azimpremjiuniversity.edu.in/apex/CD_CourseDetailsPDF?Id=a0Ufu00000NhYE5" TargetMode="External"/><Relationship Id="rId172" Type="http://schemas.openxmlformats.org/officeDocument/2006/relationships/hyperlink" Target="https://mycampus.azimpremjiuniversity.edu.in/apex/CD_CourseDetailsPDF?Id=a0UIg0000009W6D" TargetMode="External"/><Relationship Id="rId65" Type="http://schemas.openxmlformats.org/officeDocument/2006/relationships/hyperlink" Target="https://mycampus.azimpremjiuniversity.edu.in/apex/CD_CourseDetailsPDF?Id=a0U2w00000g0clN" TargetMode="External"/><Relationship Id="rId171" Type="http://schemas.openxmlformats.org/officeDocument/2006/relationships/hyperlink" Target="https://mycampus.azimpremjiuniversity.edu.in/apex/CD_CourseDetailsPDF?Id=a0Ufu00000AQrPX" TargetMode="External"/><Relationship Id="rId68" Type="http://schemas.openxmlformats.org/officeDocument/2006/relationships/hyperlink" Target="https://mycampus.azimpremjiuniversity.edu.in/apex/CD_CourseDetailsPDF?Id=a0U2w00000g0cmD" TargetMode="External"/><Relationship Id="rId170" Type="http://schemas.openxmlformats.org/officeDocument/2006/relationships/hyperlink" Target="https://mycampus.azimpremjiuniversity.edu.in/apex/CD_CourseDetailsPDF?Id=a0U2w00000dCQ4i" TargetMode="External"/><Relationship Id="rId67" Type="http://schemas.openxmlformats.org/officeDocument/2006/relationships/hyperlink" Target="https://mycampus.azimpremjiuniversity.edu.in/apex/CD_CourseDetailsPDF?Id=a0UIg000000CTgS" TargetMode="External"/><Relationship Id="rId60" Type="http://schemas.openxmlformats.org/officeDocument/2006/relationships/hyperlink" Target="https://mycampus.azimpremjiuniversity.edu.in/apex/CD_CourseDetailsPDF?Id=a0UIg000000NykW" TargetMode="External"/><Relationship Id="rId165" Type="http://schemas.openxmlformats.org/officeDocument/2006/relationships/hyperlink" Target="https://mycampus.azimpremjiuniversity.edu.in/apex/CD_CourseDetailsPDF?Id=a0U2w00000g0cif" TargetMode="External"/><Relationship Id="rId69" Type="http://schemas.openxmlformats.org/officeDocument/2006/relationships/hyperlink" Target="https://mycampus.azimpremjiuniversity.edu.in/apex/CD_CourseDetailsPDF?Id=a0UIg000000Os2o" TargetMode="External"/><Relationship Id="rId164" Type="http://schemas.openxmlformats.org/officeDocument/2006/relationships/hyperlink" Target="https://mycampus.azimpremjiuniversity.edu.in/apex/CD_CourseDetailsPDF?Id=a0U2w00000dDb5a" TargetMode="External"/><Relationship Id="rId163" Type="http://schemas.openxmlformats.org/officeDocument/2006/relationships/hyperlink" Target="https://mycampus.azimpremjiuniversity.edu.in/apex/CD_CourseDetailsPDF?Id=a0Ufu00000MqucX" TargetMode="External"/><Relationship Id="rId162" Type="http://schemas.openxmlformats.org/officeDocument/2006/relationships/hyperlink" Target="https://mycampus.azimpremjiuniversity.edu.in/apex/CD_CourseDetailsPDF?Id=a0Ufu00000RVFpe" TargetMode="External"/><Relationship Id="rId169" Type="http://schemas.openxmlformats.org/officeDocument/2006/relationships/hyperlink" Target="https://mycampus.azimpremjiuniversity.edu.in/apex/CD_CourseDetailsPDF?Id=a0U2w00000g0ck1" TargetMode="External"/><Relationship Id="rId168" Type="http://schemas.openxmlformats.org/officeDocument/2006/relationships/hyperlink" Target="https://mycampus.azimpremjiuniversity.edu.in/apex/CD_CourseDetailsPDF?Id=a0Ufu00000PUZ0O" TargetMode="External"/><Relationship Id="rId167" Type="http://schemas.openxmlformats.org/officeDocument/2006/relationships/hyperlink" Target="https://mycampus.azimpremjiuniversity.edu.in/apex/CD_CourseDetailsPDF?Id=a0UIg000000P07r" TargetMode="External"/><Relationship Id="rId166" Type="http://schemas.openxmlformats.org/officeDocument/2006/relationships/hyperlink" Target="https://mycampus.azimpremjiuniversity.edu.in/apex/CD_CourseDetailsPDF?Id=a0U2w00000g0cj7" TargetMode="External"/><Relationship Id="rId51" Type="http://schemas.openxmlformats.org/officeDocument/2006/relationships/hyperlink" Target="https://mycampus.azimpremjiuniversity.edu.in/apex/CD_CourseDetailsPDF?Id=a0Ufu00000N46MY" TargetMode="External"/><Relationship Id="rId50" Type="http://schemas.openxmlformats.org/officeDocument/2006/relationships/hyperlink" Target="https://mycampus.azimpremjiuniversity.edu.in/apex/CD_CourseDetailsPDF?Id=a0Ufu00000MWNo2" TargetMode="External"/><Relationship Id="rId53" Type="http://schemas.openxmlformats.org/officeDocument/2006/relationships/hyperlink" Target="https://mycampus.azimpremjiuniversity.edu.in/apex/CD_CourseDetailsPDF?Id=a0Ufu00000LEzsM" TargetMode="External"/><Relationship Id="rId52" Type="http://schemas.openxmlformats.org/officeDocument/2006/relationships/hyperlink" Target="https://mycampus.azimpremjiuniversity.edu.in/apex/CD_CourseDetailsPDF?Id=a0Ufu00000N3rgs" TargetMode="External"/><Relationship Id="rId55" Type="http://schemas.openxmlformats.org/officeDocument/2006/relationships/hyperlink" Target="https://mycampus.azimpremjiuniversity.edu.in/apex/CD_CourseDetailsPDF?Id=a0U2w00000g0ckb" TargetMode="External"/><Relationship Id="rId161" Type="http://schemas.openxmlformats.org/officeDocument/2006/relationships/hyperlink" Target="https://mycampus.azimpremjiuniversity.edu.in/apex/CD_CourseDetailsPDF?Id=a0U2w00000dDlSz" TargetMode="External"/><Relationship Id="rId54" Type="http://schemas.openxmlformats.org/officeDocument/2006/relationships/hyperlink" Target="https://mycampus.azimpremjiuniversity.edu.in/apex/CD_CourseDetailsPDF?Id=a0Ufu00000QvdqT" TargetMode="External"/><Relationship Id="rId160" Type="http://schemas.openxmlformats.org/officeDocument/2006/relationships/hyperlink" Target="https://mycampus.azimpremjiuniversity.edu.in/apex/CD_CourseDetailsPDF?Id=a0U2w00000dDb3S" TargetMode="External"/><Relationship Id="rId57" Type="http://schemas.openxmlformats.org/officeDocument/2006/relationships/hyperlink" Target="https://mycampus.azimpremjiuniversity.edu.in/apex/CD_CourseDetailsPDF?Id=a0UIg00000JF008" TargetMode="External"/><Relationship Id="rId56" Type="http://schemas.openxmlformats.org/officeDocument/2006/relationships/hyperlink" Target="https://mycampus.azimpremjiuniversity.edu.in/apex/CD_CourseDetailsPDF?Id=a0U2w00000g0cmC" TargetMode="External"/><Relationship Id="rId159" Type="http://schemas.openxmlformats.org/officeDocument/2006/relationships/hyperlink" Target="https://mycampus.azimpremjiuniversity.edu.in/apex/CD_CourseDetailsPDF?Id=a0UIg000000NPev" TargetMode="External"/><Relationship Id="rId59" Type="http://schemas.openxmlformats.org/officeDocument/2006/relationships/hyperlink" Target="https://mycampus.azimpremjiuniversity.edu.in/apex/CD_CourseDetailsPDF?Id=a0UIg000000NylT" TargetMode="External"/><Relationship Id="rId154" Type="http://schemas.openxmlformats.org/officeDocument/2006/relationships/hyperlink" Target="https://mycampus.azimpremjiuniversity.edu.in/apex/CD_CourseDetailsPDF?Id=a0Ufu000009J1w5" TargetMode="External"/><Relationship Id="rId58" Type="http://schemas.openxmlformats.org/officeDocument/2006/relationships/hyperlink" Target="https://mycampus.azimpremjiuniversity.edu.in/apex/CD_CourseDetailsPDF?Id=a0UIg000000OV87" TargetMode="External"/><Relationship Id="rId153" Type="http://schemas.openxmlformats.org/officeDocument/2006/relationships/hyperlink" Target="https://mycampus.azimpremjiuniversity.edu.in/apex/CD_CourseDetailsPDF?Id=a0UIg00000apuaY" TargetMode="External"/><Relationship Id="rId152" Type="http://schemas.openxmlformats.org/officeDocument/2006/relationships/hyperlink" Target="https://mycampus.azimpremjiuniversity.edu.in/apex/CD_CourseDetailsPDF?Id=a0U2w00000g0coT" TargetMode="External"/><Relationship Id="rId151" Type="http://schemas.openxmlformats.org/officeDocument/2006/relationships/hyperlink" Target="https://mycampus.azimpremjiuniversity.edu.in/apex/CD_CourseDetailsPDF?Id=a0U2w00000g0cm7" TargetMode="External"/><Relationship Id="rId158" Type="http://schemas.openxmlformats.org/officeDocument/2006/relationships/hyperlink" Target="https://mycampus.azimpremjiuniversity.edu.in/apex/CD_CourseDetailsPDF?Id=a0Ufu00000CPYyr" TargetMode="External"/><Relationship Id="rId157" Type="http://schemas.openxmlformats.org/officeDocument/2006/relationships/hyperlink" Target="https://mycampus.azimpremjiuniversity.edu.in/apex/CD_CourseDetailsPDF?Id=a0Ufu00000N483N" TargetMode="External"/><Relationship Id="rId156" Type="http://schemas.openxmlformats.org/officeDocument/2006/relationships/hyperlink" Target="https://mycampus.azimpremjiuniversity.edu.in/apex/CD_CourseDetailsPDF?Id=a0Ufu000004QHcQ" TargetMode="External"/><Relationship Id="rId155" Type="http://schemas.openxmlformats.org/officeDocument/2006/relationships/hyperlink" Target="https://mycampus.azimpremjiuniversity.edu.in/apex/CD_CourseDetailsPDF?Id=a0Ufu00000KXqHJ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5"/>
    <col customWidth="1" min="2" max="2" width="33.0"/>
    <col customWidth="1" min="3" max="3" width="12.75"/>
    <col customWidth="1" min="4" max="4" width="57.63"/>
    <col customWidth="1" min="5" max="5" width="7.0"/>
    <col customWidth="1" min="6" max="6" width="82.25"/>
  </cols>
  <sheetData>
    <row r="1" ht="15.75" customHeight="1">
      <c r="A1" s="1" t="s">
        <v>0</v>
      </c>
      <c r="B1" s="3" t="s">
        <v>2</v>
      </c>
      <c r="C1" s="3" t="s">
        <v>4</v>
      </c>
      <c r="D1" s="3" t="s">
        <v>7</v>
      </c>
      <c r="E1" s="3" t="s">
        <v>10</v>
      </c>
      <c r="F1" s="5" t="s">
        <v>14</v>
      </c>
    </row>
    <row r="2" ht="15.75" customHeight="1">
      <c r="A2" s="6">
        <v>1.0</v>
      </c>
      <c r="B2" s="7" t="s">
        <v>16</v>
      </c>
      <c r="C2" s="7" t="s">
        <v>17</v>
      </c>
      <c r="D2" s="7" t="s">
        <v>18</v>
      </c>
      <c r="E2" s="7">
        <v>5.0</v>
      </c>
      <c r="F2" s="8" t="s">
        <v>19</v>
      </c>
    </row>
    <row r="3" ht="15.75" customHeight="1">
      <c r="A3" s="6">
        <v>2.0</v>
      </c>
      <c r="B3" s="9" t="s">
        <v>31</v>
      </c>
      <c r="C3" s="9" t="s">
        <v>33</v>
      </c>
      <c r="D3" s="9" t="s">
        <v>34</v>
      </c>
      <c r="E3" s="9">
        <v>5.0</v>
      </c>
      <c r="F3" s="8" t="s">
        <v>35</v>
      </c>
    </row>
    <row r="4" ht="15.75" customHeight="1">
      <c r="A4" s="6">
        <v>3.0</v>
      </c>
      <c r="B4" s="9" t="s">
        <v>42</v>
      </c>
      <c r="C4" s="9" t="s">
        <v>43</v>
      </c>
      <c r="D4" s="9" t="s">
        <v>44</v>
      </c>
      <c r="E4" s="9">
        <v>5.0</v>
      </c>
      <c r="F4" s="8" t="s">
        <v>45</v>
      </c>
    </row>
    <row r="5" ht="15.75" customHeight="1">
      <c r="A5" s="6">
        <v>4.0</v>
      </c>
      <c r="B5" s="9" t="s">
        <v>52</v>
      </c>
      <c r="C5" s="9" t="s">
        <v>54</v>
      </c>
      <c r="D5" s="9" t="s">
        <v>55</v>
      </c>
      <c r="E5" s="9">
        <v>5.0</v>
      </c>
      <c r="F5" s="8" t="s">
        <v>56</v>
      </c>
    </row>
    <row r="6" ht="15.75" customHeight="1">
      <c r="A6" s="6">
        <v>5.0</v>
      </c>
      <c r="B6" s="9" t="s">
        <v>63</v>
      </c>
      <c r="C6" s="9" t="s">
        <v>64</v>
      </c>
      <c r="D6" s="9" t="s">
        <v>65</v>
      </c>
      <c r="E6" s="9">
        <v>5.0</v>
      </c>
      <c r="F6" s="11" t="s">
        <v>67</v>
      </c>
    </row>
    <row r="7" ht="15.75" customHeight="1">
      <c r="A7" s="6">
        <v>6.0</v>
      </c>
      <c r="B7" s="9" t="s">
        <v>70</v>
      </c>
      <c r="C7" s="9" t="s">
        <v>72</v>
      </c>
      <c r="D7" s="9" t="s">
        <v>74</v>
      </c>
      <c r="E7" s="9">
        <v>5.0</v>
      </c>
      <c r="F7" s="8" t="s">
        <v>77</v>
      </c>
    </row>
    <row r="8" ht="15.75" customHeight="1">
      <c r="A8" s="6">
        <v>7.0</v>
      </c>
      <c r="B8" s="9" t="s">
        <v>31</v>
      </c>
      <c r="C8" s="9" t="s">
        <v>88</v>
      </c>
      <c r="D8" s="9" t="s">
        <v>89</v>
      </c>
      <c r="E8" s="9">
        <v>5.0</v>
      </c>
      <c r="F8" s="8" t="s">
        <v>93</v>
      </c>
    </row>
    <row r="9" ht="15.75" customHeight="1">
      <c r="A9" s="6">
        <v>8.0</v>
      </c>
      <c r="B9" s="9" t="s">
        <v>97</v>
      </c>
      <c r="C9" s="9" t="s">
        <v>98</v>
      </c>
      <c r="D9" s="9" t="s">
        <v>100</v>
      </c>
      <c r="E9" s="9">
        <v>5.0</v>
      </c>
      <c r="F9" s="8" t="s">
        <v>102</v>
      </c>
    </row>
    <row r="10" ht="15.75" customHeight="1">
      <c r="A10" s="6">
        <v>9.0</v>
      </c>
      <c r="B10" s="9" t="s">
        <v>107</v>
      </c>
      <c r="C10" s="9" t="s">
        <v>109</v>
      </c>
      <c r="D10" s="9" t="s">
        <v>111</v>
      </c>
      <c r="E10" s="9">
        <v>5.0</v>
      </c>
      <c r="F10" s="8" t="s">
        <v>112</v>
      </c>
    </row>
    <row r="11" ht="15.75" customHeight="1">
      <c r="A11" s="6">
        <v>10.0</v>
      </c>
      <c r="B11" s="9" t="s">
        <v>70</v>
      </c>
      <c r="C11" s="9" t="s">
        <v>119</v>
      </c>
      <c r="D11" s="9" t="s">
        <v>120</v>
      </c>
      <c r="E11" s="9">
        <v>5.0</v>
      </c>
      <c r="F11" s="8" t="s">
        <v>121</v>
      </c>
    </row>
    <row r="12" ht="15.75" customHeight="1">
      <c r="A12" s="6">
        <v>11.0</v>
      </c>
      <c r="B12" s="9" t="s">
        <v>128</v>
      </c>
      <c r="C12" s="12" t="s">
        <v>131</v>
      </c>
      <c r="D12" s="9" t="s">
        <v>134</v>
      </c>
      <c r="E12" s="9">
        <v>5.0</v>
      </c>
      <c r="F12" s="8" t="s">
        <v>137</v>
      </c>
    </row>
    <row r="13" ht="15.75" customHeight="1">
      <c r="A13" s="6">
        <v>12.0</v>
      </c>
      <c r="B13" s="9" t="s">
        <v>146</v>
      </c>
      <c r="C13" s="12" t="s">
        <v>147</v>
      </c>
      <c r="D13" s="9" t="s">
        <v>148</v>
      </c>
      <c r="E13" s="9">
        <v>3.0</v>
      </c>
      <c r="F13" s="8" t="s">
        <v>151</v>
      </c>
    </row>
    <row r="14" ht="15.75" customHeight="1">
      <c r="A14" s="6">
        <v>13.0</v>
      </c>
      <c r="B14" s="9" t="s">
        <v>146</v>
      </c>
      <c r="C14" s="12" t="s">
        <v>155</v>
      </c>
      <c r="D14" s="9" t="s">
        <v>156</v>
      </c>
      <c r="E14" s="9">
        <v>3.0</v>
      </c>
      <c r="F14" s="8" t="s">
        <v>158</v>
      </c>
    </row>
    <row r="15" ht="15.75" customHeight="1">
      <c r="A15" s="6">
        <v>14.0</v>
      </c>
      <c r="B15" s="9" t="s">
        <v>162</v>
      </c>
      <c r="C15" s="9" t="s">
        <v>163</v>
      </c>
      <c r="D15" s="9" t="s">
        <v>165</v>
      </c>
      <c r="E15" s="9">
        <v>5.0</v>
      </c>
      <c r="F15" s="8" t="s">
        <v>167</v>
      </c>
    </row>
    <row r="16" ht="15.75" customHeight="1">
      <c r="A16" s="6">
        <v>15.0</v>
      </c>
      <c r="B16" s="9" t="s">
        <v>146</v>
      </c>
      <c r="C16" s="12" t="s">
        <v>170</v>
      </c>
      <c r="D16" s="9" t="s">
        <v>172</v>
      </c>
      <c r="E16" s="9">
        <v>3.0</v>
      </c>
      <c r="F16" s="8" t="s">
        <v>173</v>
      </c>
    </row>
    <row r="17" ht="15.75" customHeight="1">
      <c r="A17" s="6">
        <v>16.0</v>
      </c>
      <c r="B17" s="9" t="s">
        <v>146</v>
      </c>
      <c r="C17" s="12" t="s">
        <v>176</v>
      </c>
      <c r="D17" s="9" t="s">
        <v>177</v>
      </c>
      <c r="E17" s="9">
        <v>3.0</v>
      </c>
      <c r="F17" s="8" t="s">
        <v>178</v>
      </c>
    </row>
    <row r="18" ht="15.75" customHeight="1">
      <c r="A18" s="6">
        <v>17.0</v>
      </c>
      <c r="B18" s="9" t="s">
        <v>146</v>
      </c>
      <c r="C18" s="12" t="s">
        <v>184</v>
      </c>
      <c r="D18" s="9" t="s">
        <v>185</v>
      </c>
      <c r="E18" s="9">
        <v>3.0</v>
      </c>
      <c r="F18" s="11" t="s">
        <v>67</v>
      </c>
    </row>
    <row r="19" ht="15.75" customHeight="1">
      <c r="A19" s="6">
        <v>18.0</v>
      </c>
      <c r="B19" s="9" t="s">
        <v>97</v>
      </c>
      <c r="C19" s="9" t="s">
        <v>187</v>
      </c>
      <c r="D19" s="9" t="s">
        <v>188</v>
      </c>
      <c r="E19" s="9">
        <v>5.0</v>
      </c>
      <c r="F19" s="8" t="s">
        <v>189</v>
      </c>
    </row>
    <row r="20" ht="15.75" customHeight="1">
      <c r="A20" s="6">
        <v>19.0</v>
      </c>
      <c r="B20" s="9" t="s">
        <v>146</v>
      </c>
      <c r="C20" s="12" t="s">
        <v>192</v>
      </c>
      <c r="D20" s="9" t="s">
        <v>193</v>
      </c>
      <c r="E20" s="9">
        <v>3.0</v>
      </c>
      <c r="F20" s="8" t="s">
        <v>194</v>
      </c>
    </row>
    <row r="21" ht="15.75" customHeight="1">
      <c r="A21" s="6">
        <v>20.0</v>
      </c>
      <c r="B21" s="9" t="s">
        <v>146</v>
      </c>
      <c r="C21" s="12" t="s">
        <v>199</v>
      </c>
      <c r="D21" s="9" t="s">
        <v>200</v>
      </c>
      <c r="E21" s="9">
        <v>3.0</v>
      </c>
      <c r="F21" s="8" t="s">
        <v>201</v>
      </c>
    </row>
    <row r="22" ht="15.75" customHeight="1">
      <c r="A22" s="6">
        <v>21.0</v>
      </c>
      <c r="B22" s="9" t="s">
        <v>204</v>
      </c>
      <c r="C22" s="9" t="s">
        <v>205</v>
      </c>
      <c r="D22" s="9" t="s">
        <v>27</v>
      </c>
      <c r="E22" s="9">
        <v>5.0</v>
      </c>
      <c r="F22" s="8" t="s">
        <v>208</v>
      </c>
    </row>
    <row r="23" ht="15.75" customHeight="1">
      <c r="A23" s="6">
        <v>22.0</v>
      </c>
      <c r="B23" s="9" t="s">
        <v>97</v>
      </c>
      <c r="C23" s="9" t="s">
        <v>210</v>
      </c>
      <c r="D23" s="9" t="s">
        <v>211</v>
      </c>
      <c r="E23" s="9">
        <v>5.0</v>
      </c>
      <c r="F23" s="8" t="s">
        <v>212</v>
      </c>
    </row>
    <row r="24" ht="15.75" customHeight="1">
      <c r="A24" s="6">
        <v>23.0</v>
      </c>
      <c r="B24" s="9" t="s">
        <v>216</v>
      </c>
      <c r="C24" s="9" t="s">
        <v>217</v>
      </c>
      <c r="D24" s="9" t="s">
        <v>218</v>
      </c>
      <c r="E24" s="9">
        <v>5.0</v>
      </c>
      <c r="F24" s="8" t="s">
        <v>219</v>
      </c>
    </row>
    <row r="25" ht="15.75" customHeight="1">
      <c r="A25" s="6">
        <v>24.0</v>
      </c>
      <c r="B25" s="9" t="s">
        <v>128</v>
      </c>
      <c r="C25" s="9" t="s">
        <v>222</v>
      </c>
      <c r="D25" s="9" t="s">
        <v>182</v>
      </c>
      <c r="E25" s="9">
        <v>5.0</v>
      </c>
      <c r="F25" s="8" t="s">
        <v>223</v>
      </c>
    </row>
    <row r="26" ht="15.75" customHeight="1">
      <c r="A26" s="6">
        <v>25.0</v>
      </c>
      <c r="B26" s="9" t="s">
        <v>224</v>
      </c>
      <c r="C26" s="9" t="s">
        <v>225</v>
      </c>
      <c r="D26" s="9" t="s">
        <v>175</v>
      </c>
      <c r="E26" s="9">
        <v>5.0</v>
      </c>
      <c r="F26" s="8" t="s">
        <v>227</v>
      </c>
    </row>
    <row r="27" ht="15.75" customHeight="1">
      <c r="A27" s="6">
        <v>26.0</v>
      </c>
      <c r="B27" s="9" t="s">
        <v>107</v>
      </c>
      <c r="C27" s="9" t="s">
        <v>228</v>
      </c>
      <c r="D27" s="9" t="s">
        <v>229</v>
      </c>
      <c r="E27" s="9">
        <v>5.0</v>
      </c>
      <c r="F27" s="8" t="s">
        <v>231</v>
      </c>
    </row>
    <row r="28" ht="15.75" customHeight="1">
      <c r="A28" s="6">
        <v>27.0</v>
      </c>
      <c r="B28" s="9" t="s">
        <v>63</v>
      </c>
      <c r="C28" s="9" t="s">
        <v>232</v>
      </c>
      <c r="D28" s="9" t="s">
        <v>233</v>
      </c>
      <c r="E28" s="9">
        <v>5.0</v>
      </c>
      <c r="F28" s="11" t="s">
        <v>67</v>
      </c>
    </row>
    <row r="29" ht="15.75" customHeight="1">
      <c r="A29" s="6">
        <v>28.0</v>
      </c>
      <c r="B29" s="9" t="s">
        <v>224</v>
      </c>
      <c r="C29" s="9" t="s">
        <v>235</v>
      </c>
      <c r="D29" s="9" t="s">
        <v>160</v>
      </c>
      <c r="E29" s="9">
        <v>5.0</v>
      </c>
      <c r="F29" s="8" t="s">
        <v>236</v>
      </c>
    </row>
    <row r="30" ht="15.75" customHeight="1">
      <c r="A30" s="6">
        <v>29.0</v>
      </c>
      <c r="B30" s="9" t="s">
        <v>70</v>
      </c>
      <c r="C30" s="9" t="s">
        <v>240</v>
      </c>
      <c r="D30" s="9" t="s">
        <v>53</v>
      </c>
      <c r="E30" s="9">
        <v>5.0</v>
      </c>
      <c r="F30" s="8" t="s">
        <v>241</v>
      </c>
    </row>
    <row r="31" ht="15.75" customHeight="1">
      <c r="A31" s="6">
        <v>30.0</v>
      </c>
      <c r="B31" s="9" t="s">
        <v>243</v>
      </c>
      <c r="C31" s="9" t="s">
        <v>244</v>
      </c>
      <c r="D31" s="9" t="s">
        <v>245</v>
      </c>
      <c r="E31" s="9">
        <v>5.0</v>
      </c>
      <c r="F31" s="8" t="s">
        <v>246</v>
      </c>
    </row>
    <row r="32" ht="15.75" customHeight="1">
      <c r="A32" s="6">
        <v>31.0</v>
      </c>
      <c r="B32" s="9" t="s">
        <v>146</v>
      </c>
      <c r="C32" s="12" t="s">
        <v>248</v>
      </c>
      <c r="D32" s="9" t="s">
        <v>249</v>
      </c>
      <c r="E32" s="9">
        <v>3.0</v>
      </c>
      <c r="F32" s="8" t="s">
        <v>250</v>
      </c>
    </row>
    <row r="33" ht="15.75" customHeight="1">
      <c r="A33" s="6">
        <v>32.0</v>
      </c>
      <c r="B33" s="9" t="s">
        <v>146</v>
      </c>
      <c r="C33" s="12" t="s">
        <v>252</v>
      </c>
      <c r="D33" s="9" t="s">
        <v>253</v>
      </c>
      <c r="E33" s="9">
        <v>3.0</v>
      </c>
      <c r="F33" s="8" t="s">
        <v>255</v>
      </c>
    </row>
    <row r="34" ht="15.75" customHeight="1">
      <c r="A34" s="6">
        <v>33.0</v>
      </c>
      <c r="B34" s="9" t="s">
        <v>42</v>
      </c>
      <c r="C34" s="9" t="s">
        <v>257</v>
      </c>
      <c r="D34" s="9" t="s">
        <v>258</v>
      </c>
      <c r="E34" s="9">
        <v>5.0</v>
      </c>
      <c r="F34" s="8" t="s">
        <v>259</v>
      </c>
    </row>
    <row r="35" ht="15.75" customHeight="1">
      <c r="A35" s="6">
        <v>34.0</v>
      </c>
      <c r="B35" s="9" t="s">
        <v>243</v>
      </c>
      <c r="C35" s="9" t="s">
        <v>261</v>
      </c>
      <c r="D35" s="9" t="s">
        <v>262</v>
      </c>
      <c r="E35" s="9">
        <v>3.0</v>
      </c>
      <c r="F35" s="8" t="s">
        <v>263</v>
      </c>
    </row>
    <row r="36" ht="15.75" customHeight="1">
      <c r="A36" s="6">
        <v>35.0</v>
      </c>
      <c r="B36" s="9" t="s">
        <v>146</v>
      </c>
      <c r="C36" s="12" t="s">
        <v>264</v>
      </c>
      <c r="D36" s="9" t="s">
        <v>265</v>
      </c>
      <c r="E36" s="9">
        <v>3.0</v>
      </c>
      <c r="F36" s="8" t="s">
        <v>266</v>
      </c>
    </row>
    <row r="37" ht="15.75" customHeight="1">
      <c r="A37" s="6">
        <v>36.0</v>
      </c>
      <c r="B37" s="9" t="s">
        <v>267</v>
      </c>
      <c r="C37" s="9" t="s">
        <v>268</v>
      </c>
      <c r="D37" s="9" t="s">
        <v>269</v>
      </c>
      <c r="E37" s="9">
        <v>5.0</v>
      </c>
      <c r="F37" s="8" t="s">
        <v>270</v>
      </c>
    </row>
    <row r="38" ht="15.75" customHeight="1">
      <c r="A38" s="6">
        <v>37.0</v>
      </c>
      <c r="B38" s="9" t="s">
        <v>271</v>
      </c>
      <c r="C38" s="9" t="s">
        <v>272</v>
      </c>
      <c r="D38" s="9" t="s">
        <v>273</v>
      </c>
      <c r="E38" s="9">
        <v>5.0</v>
      </c>
      <c r="F38" s="8" t="s">
        <v>274</v>
      </c>
    </row>
    <row r="39" ht="15.75" customHeight="1">
      <c r="A39" s="6">
        <v>38.0</v>
      </c>
      <c r="B39" s="9" t="s">
        <v>97</v>
      </c>
      <c r="C39" s="9" t="s">
        <v>275</v>
      </c>
      <c r="D39" s="9" t="s">
        <v>181</v>
      </c>
      <c r="E39" s="9">
        <v>5.0</v>
      </c>
      <c r="F39" s="8" t="s">
        <v>276</v>
      </c>
    </row>
    <row r="40" ht="15.75" customHeight="1">
      <c r="A40" s="6">
        <v>39.0</v>
      </c>
      <c r="B40" s="9" t="s">
        <v>128</v>
      </c>
      <c r="C40" s="9" t="s">
        <v>277</v>
      </c>
      <c r="D40" s="9" t="s">
        <v>62</v>
      </c>
      <c r="E40" s="9">
        <v>5.0</v>
      </c>
      <c r="F40" s="8" t="s">
        <v>278</v>
      </c>
    </row>
    <row r="41" ht="15.75" customHeight="1">
      <c r="A41" s="6">
        <v>40.0</v>
      </c>
      <c r="B41" s="9" t="s">
        <v>146</v>
      </c>
      <c r="C41" s="12" t="s">
        <v>279</v>
      </c>
      <c r="D41" s="9" t="s">
        <v>280</v>
      </c>
      <c r="E41" s="9">
        <v>3.0</v>
      </c>
      <c r="F41" s="8" t="s">
        <v>281</v>
      </c>
    </row>
    <row r="42" ht="15.75" customHeight="1">
      <c r="A42" s="6">
        <v>41.0</v>
      </c>
      <c r="B42" s="9" t="s">
        <v>70</v>
      </c>
      <c r="C42" s="9" t="s">
        <v>282</v>
      </c>
      <c r="D42" s="9" t="s">
        <v>129</v>
      </c>
      <c r="E42" s="9">
        <v>5.0</v>
      </c>
      <c r="F42" s="8" t="s">
        <v>283</v>
      </c>
    </row>
    <row r="43" ht="15.75" customHeight="1">
      <c r="A43" s="6">
        <v>42.0</v>
      </c>
      <c r="B43" s="9" t="s">
        <v>97</v>
      </c>
      <c r="C43" s="9" t="s">
        <v>284</v>
      </c>
      <c r="D43" s="9" t="s">
        <v>285</v>
      </c>
      <c r="E43" s="9">
        <v>5.0</v>
      </c>
      <c r="F43" s="8" t="s">
        <v>286</v>
      </c>
    </row>
    <row r="44" ht="15.75" customHeight="1">
      <c r="A44" s="6">
        <v>43.0</v>
      </c>
      <c r="B44" s="9" t="s">
        <v>287</v>
      </c>
      <c r="C44" s="9" t="s">
        <v>288</v>
      </c>
      <c r="D44" s="9" t="s">
        <v>289</v>
      </c>
      <c r="E44" s="9">
        <v>5.0</v>
      </c>
      <c r="F44" s="8" t="s">
        <v>290</v>
      </c>
    </row>
    <row r="45" ht="15.75" customHeight="1">
      <c r="A45" s="6">
        <v>44.0</v>
      </c>
      <c r="B45" s="9" t="s">
        <v>291</v>
      </c>
      <c r="C45" s="9" t="s">
        <v>292</v>
      </c>
      <c r="D45" s="9" t="s">
        <v>293</v>
      </c>
      <c r="E45" s="9">
        <v>4.0</v>
      </c>
      <c r="F45" s="8" t="s">
        <v>294</v>
      </c>
    </row>
    <row r="46" ht="15.75" customHeight="1">
      <c r="A46" s="6">
        <v>45.0</v>
      </c>
      <c r="B46" s="9" t="s">
        <v>291</v>
      </c>
      <c r="C46" s="9" t="s">
        <v>295</v>
      </c>
      <c r="D46" s="9" t="s">
        <v>296</v>
      </c>
      <c r="E46" s="9">
        <v>3.0</v>
      </c>
      <c r="F46" s="8" t="s">
        <v>297</v>
      </c>
    </row>
    <row r="47" ht="15.75" customHeight="1">
      <c r="A47" s="6">
        <v>46.0</v>
      </c>
      <c r="B47" s="9" t="s">
        <v>291</v>
      </c>
      <c r="C47" s="9" t="s">
        <v>298</v>
      </c>
      <c r="D47" s="9" t="s">
        <v>299</v>
      </c>
      <c r="E47" s="9">
        <v>3.0</v>
      </c>
      <c r="F47" s="8" t="s">
        <v>300</v>
      </c>
    </row>
    <row r="48" ht="15.75" customHeight="1">
      <c r="A48" s="6">
        <v>47.0</v>
      </c>
      <c r="B48" s="9" t="s">
        <v>224</v>
      </c>
      <c r="C48" s="9" t="s">
        <v>301</v>
      </c>
      <c r="D48" s="9" t="s">
        <v>302</v>
      </c>
      <c r="E48" s="9">
        <v>5.0</v>
      </c>
      <c r="F48" s="8" t="s">
        <v>303</v>
      </c>
    </row>
    <row r="49" ht="15.75" customHeight="1">
      <c r="A49" s="6">
        <v>48.0</v>
      </c>
      <c r="B49" s="9" t="s">
        <v>52</v>
      </c>
      <c r="C49" s="9" t="s">
        <v>304</v>
      </c>
      <c r="D49" s="9" t="s">
        <v>305</v>
      </c>
      <c r="E49" s="9">
        <v>5.0</v>
      </c>
      <c r="F49" s="8" t="s">
        <v>306</v>
      </c>
    </row>
    <row r="50" ht="15.75" customHeight="1">
      <c r="A50" s="6">
        <v>49.0</v>
      </c>
      <c r="B50" s="9" t="s">
        <v>307</v>
      </c>
      <c r="C50" s="9" t="s">
        <v>308</v>
      </c>
      <c r="D50" s="9" t="s">
        <v>83</v>
      </c>
      <c r="E50" s="9">
        <v>5.0</v>
      </c>
      <c r="F50" s="8" t="s">
        <v>309</v>
      </c>
    </row>
    <row r="51" ht="15.75" customHeight="1">
      <c r="A51" s="6">
        <v>50.0</v>
      </c>
      <c r="B51" s="9" t="s">
        <v>307</v>
      </c>
      <c r="C51" s="9" t="s">
        <v>310</v>
      </c>
      <c r="D51" s="9" t="s">
        <v>21</v>
      </c>
      <c r="E51" s="9">
        <v>5.0</v>
      </c>
      <c r="F51" s="8" t="s">
        <v>311</v>
      </c>
    </row>
    <row r="52" ht="15.75" customHeight="1">
      <c r="A52" s="6">
        <v>51.0</v>
      </c>
      <c r="B52" s="9" t="s">
        <v>312</v>
      </c>
      <c r="C52" s="9" t="s">
        <v>313</v>
      </c>
      <c r="D52" s="9" t="s">
        <v>314</v>
      </c>
      <c r="E52" s="9">
        <v>5.0</v>
      </c>
      <c r="F52" s="8" t="s">
        <v>315</v>
      </c>
    </row>
    <row r="53" ht="15.75" customHeight="1">
      <c r="A53" s="6">
        <v>52.0</v>
      </c>
      <c r="B53" s="9" t="s">
        <v>287</v>
      </c>
      <c r="C53" s="9" t="s">
        <v>316</v>
      </c>
      <c r="D53" s="9" t="s">
        <v>149</v>
      </c>
      <c r="E53" s="9">
        <v>5.0</v>
      </c>
      <c r="F53" s="8" t="s">
        <v>317</v>
      </c>
    </row>
    <row r="54" ht="15.75" customHeight="1">
      <c r="A54" s="6">
        <v>53.0</v>
      </c>
      <c r="B54" s="9" t="s">
        <v>128</v>
      </c>
      <c r="C54" s="9" t="s">
        <v>318</v>
      </c>
      <c r="D54" s="9" t="s">
        <v>319</v>
      </c>
      <c r="E54" s="9">
        <v>5.0</v>
      </c>
      <c r="F54" s="8" t="s">
        <v>320</v>
      </c>
    </row>
    <row r="55" ht="15.75" customHeight="1">
      <c r="A55" s="6">
        <v>54.0</v>
      </c>
      <c r="B55" s="9" t="s">
        <v>107</v>
      </c>
      <c r="C55" s="9" t="s">
        <v>321</v>
      </c>
      <c r="D55" s="9" t="s">
        <v>322</v>
      </c>
      <c r="E55" s="9">
        <v>5.0</v>
      </c>
      <c r="F55" s="8" t="s">
        <v>323</v>
      </c>
    </row>
    <row r="56" ht="15.75" customHeight="1">
      <c r="A56" s="6">
        <v>55.0</v>
      </c>
      <c r="B56" s="9" t="s">
        <v>107</v>
      </c>
      <c r="C56" s="9" t="s">
        <v>324</v>
      </c>
      <c r="D56" s="9" t="s">
        <v>325</v>
      </c>
      <c r="E56" s="9">
        <v>5.0</v>
      </c>
      <c r="F56" s="8" t="s">
        <v>326</v>
      </c>
    </row>
    <row r="57" ht="15.75" customHeight="1">
      <c r="A57" s="6">
        <v>56.0</v>
      </c>
      <c r="B57" s="9" t="s">
        <v>31</v>
      </c>
      <c r="C57" s="9" t="s">
        <v>327</v>
      </c>
      <c r="D57" s="9" t="s">
        <v>135</v>
      </c>
      <c r="E57" s="9">
        <v>5.0</v>
      </c>
      <c r="F57" s="8" t="s">
        <v>328</v>
      </c>
    </row>
    <row r="58" ht="15.75" customHeight="1">
      <c r="A58" s="6">
        <v>57.0</v>
      </c>
      <c r="B58" s="9" t="s">
        <v>146</v>
      </c>
      <c r="C58" s="12" t="s">
        <v>329</v>
      </c>
      <c r="D58" s="9" t="s">
        <v>330</v>
      </c>
      <c r="E58" s="9">
        <v>3.0</v>
      </c>
      <c r="F58" s="8" t="s">
        <v>331</v>
      </c>
    </row>
    <row r="59" ht="15.75" customHeight="1">
      <c r="A59" s="6">
        <v>58.0</v>
      </c>
      <c r="B59" s="9" t="s">
        <v>332</v>
      </c>
      <c r="C59" s="9" t="s">
        <v>333</v>
      </c>
      <c r="D59" s="9" t="s">
        <v>334</v>
      </c>
      <c r="E59" s="9">
        <v>5.0</v>
      </c>
      <c r="F59" s="8" t="s">
        <v>335</v>
      </c>
    </row>
    <row r="60" ht="15.75" customHeight="1">
      <c r="A60" s="6">
        <v>59.0</v>
      </c>
      <c r="B60" s="9" t="s">
        <v>291</v>
      </c>
      <c r="C60" s="9" t="s">
        <v>336</v>
      </c>
      <c r="D60" s="9" t="s">
        <v>337</v>
      </c>
      <c r="E60" s="9">
        <v>3.0</v>
      </c>
      <c r="F60" s="8" t="s">
        <v>338</v>
      </c>
    </row>
    <row r="61" ht="15.75" customHeight="1">
      <c r="A61" s="6">
        <v>60.0</v>
      </c>
      <c r="B61" s="9" t="s">
        <v>146</v>
      </c>
      <c r="C61" s="12" t="s">
        <v>339</v>
      </c>
      <c r="D61" s="9" t="s">
        <v>340</v>
      </c>
      <c r="E61" s="9">
        <v>3.0</v>
      </c>
      <c r="F61" s="8" t="s">
        <v>341</v>
      </c>
    </row>
    <row r="62" ht="15.75" customHeight="1">
      <c r="A62" s="6">
        <v>61.0</v>
      </c>
      <c r="B62" s="9" t="s">
        <v>243</v>
      </c>
      <c r="C62" s="9" t="s">
        <v>342</v>
      </c>
      <c r="D62" s="9" t="s">
        <v>343</v>
      </c>
      <c r="E62" s="9">
        <v>3.0</v>
      </c>
      <c r="F62" s="8" t="s">
        <v>344</v>
      </c>
    </row>
    <row r="63" ht="15.75" customHeight="1">
      <c r="A63" s="6">
        <v>62.0</v>
      </c>
      <c r="B63" s="9" t="s">
        <v>243</v>
      </c>
      <c r="C63" s="9" t="s">
        <v>345</v>
      </c>
      <c r="D63" s="9" t="s">
        <v>346</v>
      </c>
      <c r="E63" s="9">
        <v>3.0</v>
      </c>
      <c r="F63" s="8" t="s">
        <v>347</v>
      </c>
    </row>
    <row r="64" ht="15.75" customHeight="1">
      <c r="A64" s="6">
        <v>63.0</v>
      </c>
      <c r="B64" s="9" t="s">
        <v>243</v>
      </c>
      <c r="C64" s="9" t="s">
        <v>348</v>
      </c>
      <c r="D64" s="9" t="s">
        <v>349</v>
      </c>
      <c r="E64" s="9">
        <v>4.0</v>
      </c>
      <c r="F64" s="8" t="s">
        <v>350</v>
      </c>
    </row>
    <row r="65" ht="15.75" customHeight="1">
      <c r="A65" s="6">
        <v>64.0</v>
      </c>
      <c r="B65" s="9" t="s">
        <v>287</v>
      </c>
      <c r="C65" s="9" t="s">
        <v>351</v>
      </c>
      <c r="D65" s="9" t="s">
        <v>59</v>
      </c>
      <c r="E65" s="9">
        <v>5.0</v>
      </c>
      <c r="F65" s="8" t="s">
        <v>352</v>
      </c>
    </row>
    <row r="66" ht="15.75" customHeight="1">
      <c r="A66" s="6">
        <v>65.0</v>
      </c>
      <c r="B66" s="9" t="s">
        <v>42</v>
      </c>
      <c r="C66" s="9" t="s">
        <v>353</v>
      </c>
      <c r="D66" s="9" t="s">
        <v>138</v>
      </c>
      <c r="E66" s="9">
        <v>5.0</v>
      </c>
      <c r="F66" s="8" t="s">
        <v>354</v>
      </c>
    </row>
    <row r="67" ht="15.75" customHeight="1">
      <c r="A67" s="6">
        <v>66.0</v>
      </c>
      <c r="B67" s="9" t="s">
        <v>42</v>
      </c>
      <c r="C67" s="9" t="s">
        <v>355</v>
      </c>
      <c r="D67" s="9" t="s">
        <v>133</v>
      </c>
      <c r="E67" s="9">
        <v>5.0</v>
      </c>
      <c r="F67" s="8" t="s">
        <v>356</v>
      </c>
    </row>
    <row r="68" ht="15.75" customHeight="1">
      <c r="A68" s="6">
        <v>67.0</v>
      </c>
      <c r="B68" s="9" t="s">
        <v>287</v>
      </c>
      <c r="C68" s="9" t="s">
        <v>357</v>
      </c>
      <c r="D68" s="9" t="s">
        <v>358</v>
      </c>
      <c r="E68" s="9">
        <v>5.0</v>
      </c>
      <c r="F68" s="8" t="s">
        <v>359</v>
      </c>
    </row>
    <row r="69" ht="15.75" customHeight="1">
      <c r="A69" s="6">
        <v>68.0</v>
      </c>
      <c r="B69" s="9" t="s">
        <v>146</v>
      </c>
      <c r="C69" s="12" t="s">
        <v>360</v>
      </c>
      <c r="D69" s="9" t="s">
        <v>361</v>
      </c>
      <c r="E69" s="9">
        <v>3.0</v>
      </c>
      <c r="F69" s="8" t="s">
        <v>362</v>
      </c>
    </row>
    <row r="70" ht="15.75" customHeight="1">
      <c r="A70" s="6">
        <v>69.0</v>
      </c>
      <c r="B70" s="9" t="s">
        <v>291</v>
      </c>
      <c r="C70" s="9" t="s">
        <v>363</v>
      </c>
      <c r="D70" s="9" t="s">
        <v>364</v>
      </c>
      <c r="E70" s="9">
        <v>5.0</v>
      </c>
      <c r="F70" s="8" t="s">
        <v>365</v>
      </c>
    </row>
    <row r="71" ht="15.75" customHeight="1">
      <c r="A71" s="6">
        <v>70.0</v>
      </c>
      <c r="B71" s="9" t="s">
        <v>366</v>
      </c>
      <c r="C71" s="9" t="s">
        <v>367</v>
      </c>
      <c r="D71" s="9" t="s">
        <v>368</v>
      </c>
      <c r="E71" s="9">
        <v>5.0</v>
      </c>
      <c r="F71" s="8" t="s">
        <v>369</v>
      </c>
    </row>
    <row r="72" ht="15.75" customHeight="1">
      <c r="A72" s="6">
        <v>71.0</v>
      </c>
      <c r="B72" s="9" t="s">
        <v>291</v>
      </c>
      <c r="C72" s="9" t="s">
        <v>370</v>
      </c>
      <c r="D72" s="9" t="s">
        <v>371</v>
      </c>
      <c r="E72" s="9">
        <v>3.0</v>
      </c>
      <c r="F72" s="8" t="s">
        <v>372</v>
      </c>
    </row>
    <row r="73" ht="15.75" customHeight="1">
      <c r="A73" s="6">
        <v>72.0</v>
      </c>
      <c r="B73" s="9" t="s">
        <v>291</v>
      </c>
      <c r="C73" s="9" t="s">
        <v>373</v>
      </c>
      <c r="D73" s="9" t="s">
        <v>47</v>
      </c>
      <c r="E73" s="9">
        <v>5.0</v>
      </c>
      <c r="F73" s="8" t="s">
        <v>374</v>
      </c>
    </row>
    <row r="74" ht="15.75" customHeight="1">
      <c r="A74" s="6">
        <v>73.0</v>
      </c>
      <c r="B74" s="9" t="s">
        <v>243</v>
      </c>
      <c r="C74" s="9" t="s">
        <v>375</v>
      </c>
      <c r="D74" s="9" t="s">
        <v>376</v>
      </c>
      <c r="E74" s="9">
        <v>2.0</v>
      </c>
      <c r="F74" s="8" t="s">
        <v>377</v>
      </c>
    </row>
    <row r="75" ht="15.75" customHeight="1">
      <c r="A75" s="6">
        <v>74.0</v>
      </c>
      <c r="B75" s="9" t="s">
        <v>63</v>
      </c>
      <c r="C75" s="9" t="s">
        <v>378</v>
      </c>
      <c r="D75" s="9" t="s">
        <v>81</v>
      </c>
      <c r="E75" s="9">
        <v>5.0</v>
      </c>
      <c r="F75" s="11" t="s">
        <v>67</v>
      </c>
    </row>
    <row r="76" ht="15.75" customHeight="1">
      <c r="A76" s="6">
        <v>75.0</v>
      </c>
      <c r="B76" s="9" t="s">
        <v>128</v>
      </c>
      <c r="C76" s="9" t="s">
        <v>379</v>
      </c>
      <c r="D76" s="9" t="s">
        <v>380</v>
      </c>
      <c r="E76" s="9">
        <v>5.0</v>
      </c>
      <c r="F76" s="8" t="s">
        <v>381</v>
      </c>
    </row>
    <row r="77" ht="15.75" customHeight="1">
      <c r="A77" s="6">
        <v>76.0</v>
      </c>
      <c r="B77" s="9" t="s">
        <v>42</v>
      </c>
      <c r="C77" s="9" t="s">
        <v>382</v>
      </c>
      <c r="D77" s="9" t="s">
        <v>383</v>
      </c>
      <c r="E77" s="9">
        <v>5.0</v>
      </c>
      <c r="F77" s="8" t="s">
        <v>384</v>
      </c>
    </row>
    <row r="78" ht="15.75" customHeight="1">
      <c r="A78" s="6">
        <v>77.0</v>
      </c>
      <c r="B78" s="9" t="s">
        <v>204</v>
      </c>
      <c r="C78" s="9" t="s">
        <v>385</v>
      </c>
      <c r="D78" s="9" t="s">
        <v>386</v>
      </c>
      <c r="E78" s="9">
        <v>5.0</v>
      </c>
      <c r="F78" s="8" t="s">
        <v>387</v>
      </c>
    </row>
    <row r="79" ht="15.75" customHeight="1">
      <c r="A79" s="6">
        <v>78.0</v>
      </c>
      <c r="B79" s="9" t="s">
        <v>291</v>
      </c>
      <c r="C79" s="9" t="s">
        <v>388</v>
      </c>
      <c r="D79" s="9" t="s">
        <v>41</v>
      </c>
      <c r="E79" s="9">
        <v>5.0</v>
      </c>
      <c r="F79" s="8" t="s">
        <v>389</v>
      </c>
    </row>
    <row r="80" ht="15.75" customHeight="1">
      <c r="A80" s="6">
        <v>79.0</v>
      </c>
      <c r="B80" s="9" t="s">
        <v>128</v>
      </c>
      <c r="C80" s="9" t="s">
        <v>390</v>
      </c>
      <c r="D80" s="9" t="s">
        <v>69</v>
      </c>
      <c r="E80" s="9">
        <v>5.0</v>
      </c>
      <c r="F80" s="8" t="s">
        <v>391</v>
      </c>
    </row>
    <row r="81" ht="15.75" customHeight="1">
      <c r="A81" s="6">
        <v>80.0</v>
      </c>
      <c r="B81" s="9" t="s">
        <v>392</v>
      </c>
      <c r="C81" s="9" t="s">
        <v>393</v>
      </c>
      <c r="D81" s="9" t="s">
        <v>394</v>
      </c>
      <c r="E81" s="9">
        <v>5.0</v>
      </c>
      <c r="F81" s="8" t="s">
        <v>395</v>
      </c>
    </row>
    <row r="82" ht="15.75" customHeight="1">
      <c r="A82" s="6">
        <v>81.0</v>
      </c>
      <c r="B82" s="9" t="s">
        <v>128</v>
      </c>
      <c r="C82" s="9" t="s">
        <v>396</v>
      </c>
      <c r="D82" s="9" t="s">
        <v>24</v>
      </c>
      <c r="E82" s="9">
        <v>5.0</v>
      </c>
      <c r="F82" s="8" t="s">
        <v>397</v>
      </c>
    </row>
    <row r="83" ht="15.75" customHeight="1">
      <c r="A83" s="6">
        <v>82.0</v>
      </c>
      <c r="B83" s="9" t="s">
        <v>398</v>
      </c>
      <c r="C83" s="9" t="s">
        <v>399</v>
      </c>
      <c r="D83" s="9" t="s">
        <v>400</v>
      </c>
      <c r="E83" s="9">
        <v>5.0</v>
      </c>
      <c r="F83" s="8" t="s">
        <v>401</v>
      </c>
    </row>
    <row r="84" ht="15.75" customHeight="1">
      <c r="A84" s="6">
        <v>83.0</v>
      </c>
      <c r="B84" s="9" t="s">
        <v>204</v>
      </c>
      <c r="C84" s="9" t="s">
        <v>402</v>
      </c>
      <c r="D84" s="9" t="s">
        <v>32</v>
      </c>
      <c r="E84" s="9">
        <v>5.0</v>
      </c>
      <c r="F84" s="8" t="s">
        <v>403</v>
      </c>
    </row>
    <row r="85" ht="15.75" customHeight="1">
      <c r="A85" s="6">
        <v>84.0</v>
      </c>
      <c r="B85" s="9" t="s">
        <v>216</v>
      </c>
      <c r="C85" s="9" t="s">
        <v>404</v>
      </c>
      <c r="D85" s="9" t="s">
        <v>405</v>
      </c>
      <c r="E85" s="9">
        <v>5.0</v>
      </c>
      <c r="F85" s="8" t="s">
        <v>406</v>
      </c>
    </row>
    <row r="86" ht="15.75" customHeight="1">
      <c r="A86" s="6">
        <v>85.0</v>
      </c>
      <c r="B86" s="9" t="s">
        <v>407</v>
      </c>
      <c r="C86" s="9" t="s">
        <v>408</v>
      </c>
      <c r="D86" s="9" t="s">
        <v>409</v>
      </c>
      <c r="E86" s="9">
        <v>5.0</v>
      </c>
      <c r="F86" s="8" t="s">
        <v>410</v>
      </c>
    </row>
    <row r="87" ht="15.75" customHeight="1">
      <c r="A87" s="6">
        <v>86.0</v>
      </c>
      <c r="B87" s="9" t="s">
        <v>411</v>
      </c>
      <c r="C87" s="12" t="s">
        <v>412</v>
      </c>
      <c r="D87" s="12" t="s">
        <v>413</v>
      </c>
      <c r="E87" s="9">
        <v>5.0</v>
      </c>
      <c r="F87" s="8" t="s">
        <v>414</v>
      </c>
    </row>
    <row r="88" ht="15.75" customHeight="1">
      <c r="A88" s="6">
        <v>87.0</v>
      </c>
      <c r="B88" s="9" t="s">
        <v>97</v>
      </c>
      <c r="C88" s="9" t="s">
        <v>415</v>
      </c>
      <c r="D88" s="9" t="s">
        <v>23</v>
      </c>
      <c r="E88" s="9">
        <v>5.0</v>
      </c>
      <c r="F88" s="8" t="s">
        <v>416</v>
      </c>
    </row>
    <row r="89" ht="15.75" customHeight="1">
      <c r="A89" s="6">
        <v>88.0</v>
      </c>
      <c r="B89" s="9" t="s">
        <v>291</v>
      </c>
      <c r="C89" s="9" t="s">
        <v>417</v>
      </c>
      <c r="D89" s="9" t="s">
        <v>418</v>
      </c>
      <c r="E89" s="9">
        <v>5.0</v>
      </c>
      <c r="F89" s="8" t="s">
        <v>419</v>
      </c>
    </row>
    <row r="90" ht="15.75" customHeight="1">
      <c r="A90" s="6">
        <v>89.0</v>
      </c>
      <c r="B90" s="9" t="s">
        <v>291</v>
      </c>
      <c r="C90" s="9" t="s">
        <v>420</v>
      </c>
      <c r="D90" s="9" t="s">
        <v>38</v>
      </c>
      <c r="E90" s="9">
        <v>5.0</v>
      </c>
      <c r="F90" s="8" t="s">
        <v>421</v>
      </c>
    </row>
    <row r="91" ht="15.75" customHeight="1">
      <c r="A91" s="6">
        <v>90.0</v>
      </c>
      <c r="B91" s="9" t="s">
        <v>422</v>
      </c>
      <c r="C91" s="12" t="s">
        <v>423</v>
      </c>
      <c r="D91" s="12" t="s">
        <v>424</v>
      </c>
      <c r="E91" s="9">
        <v>5.0</v>
      </c>
      <c r="F91" s="8" t="s">
        <v>425</v>
      </c>
    </row>
    <row r="92" ht="15.75" customHeight="1">
      <c r="A92" s="6">
        <v>91.0</v>
      </c>
      <c r="B92" s="9" t="s">
        <v>426</v>
      </c>
      <c r="C92" s="9" t="s">
        <v>427</v>
      </c>
      <c r="D92" s="9" t="s">
        <v>66</v>
      </c>
      <c r="E92" s="9">
        <v>5.0</v>
      </c>
      <c r="F92" s="8" t="s">
        <v>428</v>
      </c>
    </row>
    <row r="93" ht="15.75" customHeight="1">
      <c r="A93" s="6">
        <v>92.0</v>
      </c>
      <c r="B93" s="9" t="s">
        <v>70</v>
      </c>
      <c r="C93" s="9" t="s">
        <v>429</v>
      </c>
      <c r="D93" s="9" t="s">
        <v>49</v>
      </c>
      <c r="E93" s="9">
        <v>5.0</v>
      </c>
      <c r="F93" s="8" t="s">
        <v>430</v>
      </c>
    </row>
    <row r="94" ht="15.75" customHeight="1">
      <c r="A94" s="6">
        <v>93.0</v>
      </c>
      <c r="B94" s="9" t="s">
        <v>31</v>
      </c>
      <c r="C94" s="9" t="s">
        <v>431</v>
      </c>
      <c r="D94" s="9" t="s">
        <v>432</v>
      </c>
      <c r="E94" s="9">
        <v>5.0</v>
      </c>
      <c r="F94" s="8" t="s">
        <v>433</v>
      </c>
    </row>
    <row r="95" ht="15.75" customHeight="1">
      <c r="A95" s="6">
        <v>94.0</v>
      </c>
      <c r="B95" s="9" t="s">
        <v>31</v>
      </c>
      <c r="C95" s="9" t="s">
        <v>434</v>
      </c>
      <c r="D95" s="9" t="s">
        <v>84</v>
      </c>
      <c r="E95" s="9">
        <v>5.0</v>
      </c>
      <c r="F95" s="8" t="s">
        <v>435</v>
      </c>
    </row>
    <row r="96" ht="15.75" customHeight="1">
      <c r="A96" s="6">
        <v>95.0</v>
      </c>
      <c r="B96" s="9" t="s">
        <v>436</v>
      </c>
      <c r="C96" s="9" t="s">
        <v>437</v>
      </c>
      <c r="D96" s="9" t="s">
        <v>438</v>
      </c>
      <c r="E96" s="9">
        <v>5.0</v>
      </c>
      <c r="F96" s="8" t="s">
        <v>439</v>
      </c>
    </row>
    <row r="97" ht="15.75" customHeight="1">
      <c r="A97" s="6">
        <v>96.0</v>
      </c>
      <c r="B97" s="9" t="s">
        <v>107</v>
      </c>
      <c r="C97" s="9" t="s">
        <v>440</v>
      </c>
      <c r="D97" s="9" t="s">
        <v>441</v>
      </c>
      <c r="E97" s="9">
        <v>5.0</v>
      </c>
      <c r="F97" s="8" t="s">
        <v>442</v>
      </c>
    </row>
    <row r="98" ht="15.75" customHeight="1">
      <c r="A98" s="6">
        <v>97.0</v>
      </c>
      <c r="B98" s="9" t="s">
        <v>97</v>
      </c>
      <c r="C98" s="9" t="s">
        <v>443</v>
      </c>
      <c r="D98" s="9" t="s">
        <v>444</v>
      </c>
      <c r="E98" s="9">
        <v>5.0</v>
      </c>
      <c r="F98" s="8" t="s">
        <v>445</v>
      </c>
    </row>
    <row r="99" ht="15.75" customHeight="1">
      <c r="A99" s="6">
        <v>98.0</v>
      </c>
      <c r="B99" s="9" t="s">
        <v>426</v>
      </c>
      <c r="C99" s="9" t="s">
        <v>446</v>
      </c>
      <c r="D99" s="9" t="s">
        <v>73</v>
      </c>
      <c r="E99" s="9">
        <v>5.0</v>
      </c>
      <c r="F99" s="8" t="s">
        <v>447</v>
      </c>
    </row>
    <row r="100" ht="15.75" customHeight="1">
      <c r="A100" s="6">
        <v>99.0</v>
      </c>
      <c r="B100" s="9" t="s">
        <v>448</v>
      </c>
      <c r="C100" s="9" t="s">
        <v>449</v>
      </c>
      <c r="D100" s="9" t="s">
        <v>110</v>
      </c>
      <c r="E100" s="9">
        <v>5.0</v>
      </c>
      <c r="F100" s="8" t="s">
        <v>450</v>
      </c>
    </row>
    <row r="101" ht="15.75" customHeight="1">
      <c r="A101" s="6">
        <v>100.0</v>
      </c>
      <c r="B101" s="9" t="s">
        <v>31</v>
      </c>
      <c r="C101" s="9" t="s">
        <v>451</v>
      </c>
      <c r="D101" s="9" t="s">
        <v>180</v>
      </c>
      <c r="E101" s="9">
        <v>5.0</v>
      </c>
      <c r="F101" s="8" t="s">
        <v>452</v>
      </c>
    </row>
    <row r="102" ht="15.75" customHeight="1">
      <c r="A102" s="6">
        <v>101.0</v>
      </c>
      <c r="B102" s="9" t="s">
        <v>271</v>
      </c>
      <c r="C102" s="9" t="s">
        <v>453</v>
      </c>
      <c r="D102" s="9" t="s">
        <v>116</v>
      </c>
      <c r="E102" s="9">
        <v>5.0</v>
      </c>
      <c r="F102" s="8" t="s">
        <v>454</v>
      </c>
    </row>
    <row r="103" ht="15.75" customHeight="1">
      <c r="A103" s="6">
        <v>102.0</v>
      </c>
      <c r="B103" s="9" t="s">
        <v>291</v>
      </c>
      <c r="C103" s="9" t="s">
        <v>455</v>
      </c>
      <c r="D103" s="9" t="s">
        <v>456</v>
      </c>
      <c r="E103" s="9">
        <v>4.0</v>
      </c>
      <c r="F103" s="8" t="s">
        <v>457</v>
      </c>
    </row>
    <row r="104" ht="15.75" customHeight="1">
      <c r="A104" s="6">
        <v>103.0</v>
      </c>
      <c r="B104" s="9" t="s">
        <v>70</v>
      </c>
      <c r="C104" s="9" t="s">
        <v>458</v>
      </c>
      <c r="D104" s="9" t="s">
        <v>459</v>
      </c>
      <c r="E104" s="9">
        <v>5.0</v>
      </c>
      <c r="F104" s="8" t="s">
        <v>460</v>
      </c>
    </row>
    <row r="105" ht="15.75" customHeight="1">
      <c r="A105" s="6">
        <v>104.0</v>
      </c>
      <c r="B105" s="9" t="s">
        <v>224</v>
      </c>
      <c r="C105" s="9" t="s">
        <v>461</v>
      </c>
      <c r="D105" s="9" t="s">
        <v>103</v>
      </c>
      <c r="E105" s="9">
        <v>5.0</v>
      </c>
      <c r="F105" s="8" t="s">
        <v>462</v>
      </c>
    </row>
    <row r="106" ht="15.75" customHeight="1">
      <c r="A106" s="6">
        <v>105.0</v>
      </c>
      <c r="B106" s="9" t="s">
        <v>312</v>
      </c>
      <c r="C106" s="9" t="s">
        <v>463</v>
      </c>
      <c r="D106" s="9" t="s">
        <v>94</v>
      </c>
      <c r="E106" s="9">
        <v>5.0</v>
      </c>
      <c r="F106" s="8" t="s">
        <v>464</v>
      </c>
    </row>
    <row r="107" ht="15.75" customHeight="1">
      <c r="A107" s="6">
        <v>106.0</v>
      </c>
      <c r="B107" s="9" t="s">
        <v>312</v>
      </c>
      <c r="C107" s="9" t="s">
        <v>465</v>
      </c>
      <c r="D107" s="9" t="s">
        <v>466</v>
      </c>
      <c r="E107" s="9">
        <v>5.0</v>
      </c>
      <c r="F107" s="8" t="s">
        <v>467</v>
      </c>
    </row>
    <row r="108" ht="15.75" customHeight="1">
      <c r="A108" s="6">
        <v>107.0</v>
      </c>
      <c r="B108" s="9" t="s">
        <v>146</v>
      </c>
      <c r="C108" s="12" t="s">
        <v>468</v>
      </c>
      <c r="D108" s="9" t="s">
        <v>469</v>
      </c>
      <c r="E108" s="9">
        <v>3.0</v>
      </c>
      <c r="F108" s="8" t="s">
        <v>470</v>
      </c>
    </row>
    <row r="109" ht="15.75" customHeight="1">
      <c r="A109" s="6">
        <v>108.0</v>
      </c>
      <c r="B109" s="9" t="s">
        <v>426</v>
      </c>
      <c r="C109" s="9" t="s">
        <v>471</v>
      </c>
      <c r="D109" s="9" t="s">
        <v>51</v>
      </c>
      <c r="E109" s="9">
        <v>5.0</v>
      </c>
      <c r="F109" s="8" t="s">
        <v>472</v>
      </c>
    </row>
    <row r="110" ht="15.75" customHeight="1">
      <c r="A110" s="6">
        <v>109.0</v>
      </c>
      <c r="B110" s="9" t="s">
        <v>31</v>
      </c>
      <c r="C110" s="9" t="s">
        <v>473</v>
      </c>
      <c r="D110" s="9" t="s">
        <v>474</v>
      </c>
      <c r="E110" s="9">
        <v>5.0</v>
      </c>
      <c r="F110" s="8" t="s">
        <v>475</v>
      </c>
    </row>
    <row r="111" ht="15.75" customHeight="1">
      <c r="A111" s="6">
        <v>110.0</v>
      </c>
      <c r="B111" s="9" t="s">
        <v>128</v>
      </c>
      <c r="C111" s="9" t="s">
        <v>476</v>
      </c>
      <c r="D111" s="9" t="s">
        <v>477</v>
      </c>
      <c r="E111" s="9">
        <v>5.0</v>
      </c>
      <c r="F111" s="8" t="s">
        <v>478</v>
      </c>
    </row>
    <row r="112" ht="15.75" customHeight="1">
      <c r="A112" s="6">
        <v>111.0</v>
      </c>
      <c r="B112" s="9" t="s">
        <v>426</v>
      </c>
      <c r="C112" s="9" t="s">
        <v>479</v>
      </c>
      <c r="D112" s="9" t="s">
        <v>480</v>
      </c>
      <c r="E112" s="9">
        <v>5.0</v>
      </c>
      <c r="F112" s="8" t="s">
        <v>481</v>
      </c>
    </row>
    <row r="113" ht="15.75" customHeight="1">
      <c r="A113" s="6">
        <v>112.0</v>
      </c>
      <c r="B113" s="9" t="s">
        <v>291</v>
      </c>
      <c r="C113" s="9" t="s">
        <v>482</v>
      </c>
      <c r="D113" s="9" t="s">
        <v>483</v>
      </c>
      <c r="E113" s="9">
        <v>3.0</v>
      </c>
      <c r="F113" s="8" t="s">
        <v>484</v>
      </c>
    </row>
    <row r="114" ht="15.75" customHeight="1">
      <c r="A114" s="6">
        <v>113.0</v>
      </c>
      <c r="B114" s="9" t="s">
        <v>291</v>
      </c>
      <c r="C114" s="9" t="s">
        <v>485</v>
      </c>
      <c r="D114" s="9" t="s">
        <v>486</v>
      </c>
      <c r="E114" s="9">
        <v>4.0</v>
      </c>
      <c r="F114" s="8" t="s">
        <v>487</v>
      </c>
    </row>
    <row r="115" ht="15.75" customHeight="1">
      <c r="A115" s="6">
        <v>114.0</v>
      </c>
      <c r="B115" s="9" t="s">
        <v>146</v>
      </c>
      <c r="C115" s="12" t="s">
        <v>488</v>
      </c>
      <c r="D115" s="9" t="s">
        <v>489</v>
      </c>
      <c r="E115" s="9">
        <v>3.0</v>
      </c>
      <c r="F115" s="8" t="s">
        <v>490</v>
      </c>
    </row>
    <row r="116" ht="15.75" customHeight="1">
      <c r="A116" s="6">
        <v>115.0</v>
      </c>
      <c r="B116" s="9" t="s">
        <v>204</v>
      </c>
      <c r="C116" s="9" t="s">
        <v>491</v>
      </c>
      <c r="D116" s="9" t="s">
        <v>492</v>
      </c>
      <c r="E116" s="9">
        <v>5.0</v>
      </c>
      <c r="F116" s="8" t="s">
        <v>493</v>
      </c>
    </row>
    <row r="117" ht="15.75" customHeight="1">
      <c r="A117" s="6">
        <v>116.0</v>
      </c>
      <c r="B117" s="9" t="s">
        <v>224</v>
      </c>
      <c r="C117" s="9" t="s">
        <v>494</v>
      </c>
      <c r="D117" s="9" t="s">
        <v>495</v>
      </c>
      <c r="E117" s="9">
        <v>5.0</v>
      </c>
      <c r="F117" s="8" t="s">
        <v>496</v>
      </c>
    </row>
    <row r="118" ht="15.75" customHeight="1">
      <c r="A118" s="6">
        <v>117.0</v>
      </c>
      <c r="B118" s="9" t="s">
        <v>224</v>
      </c>
      <c r="C118" s="9" t="s">
        <v>497</v>
      </c>
      <c r="D118" s="9" t="s">
        <v>106</v>
      </c>
      <c r="E118" s="9">
        <v>5.0</v>
      </c>
      <c r="F118" s="8" t="s">
        <v>498</v>
      </c>
    </row>
    <row r="119" ht="15.75" customHeight="1">
      <c r="A119" s="6">
        <v>118.0</v>
      </c>
      <c r="B119" s="9" t="s">
        <v>107</v>
      </c>
      <c r="C119" s="9" t="s">
        <v>499</v>
      </c>
      <c r="D119" s="9" t="s">
        <v>500</v>
      </c>
      <c r="E119" s="9">
        <v>5.0</v>
      </c>
      <c r="F119" s="8" t="s">
        <v>501</v>
      </c>
    </row>
    <row r="120" ht="15.75" customHeight="1">
      <c r="A120" s="6">
        <v>119.0</v>
      </c>
      <c r="B120" s="9" t="s">
        <v>291</v>
      </c>
      <c r="C120" s="9" t="s">
        <v>502</v>
      </c>
      <c r="D120" s="9" t="s">
        <v>503</v>
      </c>
      <c r="E120" s="9">
        <v>5.0</v>
      </c>
      <c r="F120" s="8" t="s">
        <v>504</v>
      </c>
    </row>
    <row r="121" ht="15.75" customHeight="1">
      <c r="A121" s="6">
        <v>120.0</v>
      </c>
      <c r="B121" s="9" t="s">
        <v>291</v>
      </c>
      <c r="C121" s="9" t="s">
        <v>505</v>
      </c>
      <c r="D121" s="9" t="s">
        <v>506</v>
      </c>
      <c r="E121" s="9">
        <v>4.0</v>
      </c>
      <c r="F121" s="8" t="s">
        <v>507</v>
      </c>
    </row>
    <row r="122" ht="15.75" customHeight="1">
      <c r="A122" s="6">
        <v>121.0</v>
      </c>
      <c r="B122" s="9" t="s">
        <v>70</v>
      </c>
      <c r="C122" s="9" t="s">
        <v>508</v>
      </c>
      <c r="D122" s="9" t="s">
        <v>509</v>
      </c>
      <c r="E122" s="9">
        <v>5.0</v>
      </c>
      <c r="F122" s="8" t="s">
        <v>510</v>
      </c>
    </row>
    <row r="123" ht="15.75" customHeight="1">
      <c r="A123" s="6">
        <v>122.0</v>
      </c>
      <c r="B123" s="9" t="s">
        <v>332</v>
      </c>
      <c r="C123" s="9" t="s">
        <v>511</v>
      </c>
      <c r="D123" s="9" t="s">
        <v>512</v>
      </c>
      <c r="E123" s="9">
        <v>5.0</v>
      </c>
      <c r="F123" s="8" t="s">
        <v>513</v>
      </c>
    </row>
    <row r="124" ht="15.75" customHeight="1">
      <c r="A124" s="6">
        <v>123.0</v>
      </c>
      <c r="B124" s="9" t="s">
        <v>107</v>
      </c>
      <c r="C124" s="9" t="s">
        <v>514</v>
      </c>
      <c r="D124" s="9" t="s">
        <v>515</v>
      </c>
      <c r="E124" s="9">
        <v>5.0</v>
      </c>
      <c r="F124" s="8" t="s">
        <v>516</v>
      </c>
    </row>
    <row r="125" ht="15.75" customHeight="1">
      <c r="A125" s="6">
        <v>124.0</v>
      </c>
      <c r="B125" s="9" t="s">
        <v>517</v>
      </c>
      <c r="C125" s="9" t="s">
        <v>518</v>
      </c>
      <c r="D125" s="9" t="s">
        <v>519</v>
      </c>
      <c r="E125" s="9">
        <v>5.0</v>
      </c>
      <c r="F125" s="8" t="s">
        <v>520</v>
      </c>
    </row>
    <row r="126" ht="15.75" customHeight="1">
      <c r="A126" s="6">
        <v>125.0</v>
      </c>
      <c r="B126" s="9" t="s">
        <v>146</v>
      </c>
      <c r="C126" s="12" t="s">
        <v>521</v>
      </c>
      <c r="D126" s="9" t="s">
        <v>522</v>
      </c>
      <c r="E126" s="9">
        <v>3.0</v>
      </c>
      <c r="F126" s="8" t="s">
        <v>523</v>
      </c>
    </row>
    <row r="127" ht="15.75" customHeight="1">
      <c r="A127" s="6">
        <v>126.0</v>
      </c>
      <c r="B127" s="9" t="s">
        <v>407</v>
      </c>
      <c r="C127" s="9" t="s">
        <v>524</v>
      </c>
      <c r="D127" s="9" t="s">
        <v>525</v>
      </c>
      <c r="E127" s="9">
        <v>5.0</v>
      </c>
      <c r="F127" s="8" t="s">
        <v>526</v>
      </c>
    </row>
    <row r="128" ht="15.75" customHeight="1">
      <c r="A128" s="6">
        <v>127.0</v>
      </c>
      <c r="B128" s="9" t="s">
        <v>243</v>
      </c>
      <c r="C128" s="9" t="s">
        <v>527</v>
      </c>
      <c r="D128" s="9" t="s">
        <v>528</v>
      </c>
      <c r="E128" s="9">
        <v>5.0</v>
      </c>
      <c r="F128" s="8" t="s">
        <v>529</v>
      </c>
    </row>
    <row r="129" ht="15.75" customHeight="1">
      <c r="A129" s="6">
        <v>128.0</v>
      </c>
      <c r="B129" s="9" t="s">
        <v>243</v>
      </c>
      <c r="C129" s="9" t="s">
        <v>530</v>
      </c>
      <c r="D129" s="9" t="s">
        <v>531</v>
      </c>
      <c r="E129" s="9">
        <v>5.0</v>
      </c>
      <c r="F129" s="8" t="s">
        <v>532</v>
      </c>
    </row>
    <row r="130" ht="15.75" customHeight="1">
      <c r="A130" s="6">
        <v>129.0</v>
      </c>
      <c r="B130" s="9" t="s">
        <v>392</v>
      </c>
      <c r="C130" s="9" t="s">
        <v>533</v>
      </c>
      <c r="D130" s="9" t="s">
        <v>534</v>
      </c>
      <c r="E130" s="9">
        <v>5.0</v>
      </c>
      <c r="F130" s="8" t="s">
        <v>535</v>
      </c>
    </row>
    <row r="131" ht="15.75" customHeight="1">
      <c r="A131" s="6">
        <v>130.0</v>
      </c>
      <c r="B131" s="9" t="s">
        <v>146</v>
      </c>
      <c r="C131" s="12" t="s">
        <v>536</v>
      </c>
      <c r="D131" s="9" t="s">
        <v>537</v>
      </c>
      <c r="E131" s="9">
        <v>3.0</v>
      </c>
      <c r="F131" s="8" t="s">
        <v>538</v>
      </c>
    </row>
    <row r="132" ht="15.75" customHeight="1">
      <c r="A132" s="6">
        <v>131.0</v>
      </c>
      <c r="B132" s="9" t="s">
        <v>291</v>
      </c>
      <c r="C132" s="9" t="s">
        <v>539</v>
      </c>
      <c r="D132" s="9" t="s">
        <v>540</v>
      </c>
      <c r="E132" s="9">
        <v>3.0</v>
      </c>
      <c r="F132" s="8" t="s">
        <v>541</v>
      </c>
    </row>
    <row r="133" ht="15.75" customHeight="1">
      <c r="A133" s="6">
        <v>132.0</v>
      </c>
      <c r="B133" s="9" t="s">
        <v>291</v>
      </c>
      <c r="C133" s="9" t="s">
        <v>542</v>
      </c>
      <c r="D133" s="9" t="s">
        <v>543</v>
      </c>
      <c r="E133" s="9">
        <v>5.0</v>
      </c>
      <c r="F133" s="8" t="s">
        <v>544</v>
      </c>
    </row>
    <row r="134" ht="15.75" customHeight="1">
      <c r="A134" s="6">
        <v>133.0</v>
      </c>
      <c r="B134" s="9" t="s">
        <v>312</v>
      </c>
      <c r="C134" s="9" t="s">
        <v>545</v>
      </c>
      <c r="D134" s="9" t="s">
        <v>96</v>
      </c>
      <c r="E134" s="9">
        <v>5.0</v>
      </c>
      <c r="F134" s="8" t="s">
        <v>546</v>
      </c>
    </row>
    <row r="135" ht="15.75" customHeight="1">
      <c r="A135" s="6">
        <v>134.0</v>
      </c>
      <c r="B135" s="9" t="s">
        <v>42</v>
      </c>
      <c r="C135" s="9" t="s">
        <v>547</v>
      </c>
      <c r="D135" s="9" t="s">
        <v>127</v>
      </c>
      <c r="E135" s="9">
        <v>5.0</v>
      </c>
      <c r="F135" s="8" t="s">
        <v>548</v>
      </c>
    </row>
    <row r="136" ht="15.75" customHeight="1">
      <c r="A136" s="6">
        <v>135.0</v>
      </c>
      <c r="B136" s="9" t="s">
        <v>204</v>
      </c>
      <c r="C136" s="9" t="s">
        <v>549</v>
      </c>
      <c r="D136" s="9" t="s">
        <v>78</v>
      </c>
      <c r="E136" s="9">
        <v>5.0</v>
      </c>
      <c r="F136" s="8" t="s">
        <v>550</v>
      </c>
    </row>
    <row r="137" ht="15.75" customHeight="1">
      <c r="A137" s="6">
        <v>136.0</v>
      </c>
      <c r="B137" s="9" t="s">
        <v>31</v>
      </c>
      <c r="C137" s="9" t="s">
        <v>551</v>
      </c>
      <c r="D137" s="9" t="s">
        <v>552</v>
      </c>
      <c r="E137" s="9">
        <v>5.0</v>
      </c>
      <c r="F137" s="8" t="s">
        <v>553</v>
      </c>
    </row>
    <row r="138" ht="15.75" customHeight="1">
      <c r="A138" s="6">
        <v>137.0</v>
      </c>
      <c r="B138" s="9" t="s">
        <v>271</v>
      </c>
      <c r="C138" s="9" t="s">
        <v>554</v>
      </c>
      <c r="D138" s="9" t="s">
        <v>118</v>
      </c>
      <c r="E138" s="9">
        <v>5.0</v>
      </c>
      <c r="F138" s="8" t="s">
        <v>555</v>
      </c>
    </row>
    <row r="139" ht="15.75" customHeight="1">
      <c r="A139" s="6">
        <v>138.0</v>
      </c>
      <c r="B139" s="9" t="s">
        <v>307</v>
      </c>
      <c r="C139" s="9" t="s">
        <v>556</v>
      </c>
      <c r="D139" s="9" t="s">
        <v>557</v>
      </c>
      <c r="E139" s="9">
        <v>5.0</v>
      </c>
      <c r="F139" s="8" t="s">
        <v>558</v>
      </c>
    </row>
    <row r="140" ht="15.75" customHeight="1">
      <c r="A140" s="6">
        <v>139.0</v>
      </c>
      <c r="B140" s="9" t="s">
        <v>287</v>
      </c>
      <c r="C140" s="9" t="s">
        <v>559</v>
      </c>
      <c r="D140" s="9" t="s">
        <v>560</v>
      </c>
      <c r="E140" s="9">
        <v>5.0</v>
      </c>
      <c r="F140" s="8" t="s">
        <v>561</v>
      </c>
    </row>
    <row r="141" ht="15.75" customHeight="1">
      <c r="A141" s="6">
        <v>140.0</v>
      </c>
      <c r="B141" s="9" t="s">
        <v>307</v>
      </c>
      <c r="C141" s="9" t="s">
        <v>562</v>
      </c>
      <c r="D141" s="9" t="s">
        <v>563</v>
      </c>
      <c r="E141" s="9">
        <v>5.0</v>
      </c>
      <c r="F141" s="8" t="s">
        <v>564</v>
      </c>
    </row>
    <row r="142" ht="15.75" customHeight="1">
      <c r="A142" s="6">
        <v>141.0</v>
      </c>
      <c r="B142" s="9" t="s">
        <v>307</v>
      </c>
      <c r="C142" s="9" t="s">
        <v>565</v>
      </c>
      <c r="D142" s="9" t="s">
        <v>166</v>
      </c>
      <c r="E142" s="9">
        <v>5.0</v>
      </c>
      <c r="F142" s="8" t="s">
        <v>566</v>
      </c>
    </row>
    <row r="143" ht="15.75" customHeight="1">
      <c r="A143" s="6">
        <v>142.0</v>
      </c>
      <c r="B143" s="9" t="s">
        <v>224</v>
      </c>
      <c r="C143" s="9" t="s">
        <v>567</v>
      </c>
      <c r="D143" s="9" t="s">
        <v>568</v>
      </c>
      <c r="E143" s="9">
        <v>5.0</v>
      </c>
      <c r="F143" s="8" t="s">
        <v>569</v>
      </c>
    </row>
    <row r="144" ht="15.75" customHeight="1">
      <c r="A144" s="6">
        <v>143.0</v>
      </c>
      <c r="B144" s="9" t="s">
        <v>31</v>
      </c>
      <c r="C144" s="9" t="s">
        <v>570</v>
      </c>
      <c r="D144" s="9" t="s">
        <v>571</v>
      </c>
      <c r="E144" s="9">
        <v>5.0</v>
      </c>
      <c r="F144" s="8" t="s">
        <v>572</v>
      </c>
    </row>
    <row r="145" ht="15.75" customHeight="1">
      <c r="A145" s="6">
        <v>144.0</v>
      </c>
      <c r="B145" s="9" t="s">
        <v>398</v>
      </c>
      <c r="C145" s="9" t="s">
        <v>573</v>
      </c>
      <c r="D145" s="9" t="s">
        <v>574</v>
      </c>
      <c r="E145" s="9">
        <v>5.0</v>
      </c>
      <c r="F145" s="8" t="s">
        <v>575</v>
      </c>
    </row>
    <row r="146" ht="15.75" customHeight="1">
      <c r="A146" s="6">
        <v>145.0</v>
      </c>
      <c r="B146" s="9" t="s">
        <v>146</v>
      </c>
      <c r="C146" s="12" t="s">
        <v>576</v>
      </c>
      <c r="D146" s="9" t="s">
        <v>577</v>
      </c>
      <c r="E146" s="9">
        <v>3.0</v>
      </c>
      <c r="F146" s="8" t="s">
        <v>578</v>
      </c>
    </row>
    <row r="147" ht="15.75" customHeight="1">
      <c r="A147" s="6">
        <v>146.0</v>
      </c>
      <c r="B147" s="9" t="s">
        <v>146</v>
      </c>
      <c r="C147" s="12" t="s">
        <v>579</v>
      </c>
      <c r="D147" s="9" t="s">
        <v>580</v>
      </c>
      <c r="E147" s="9">
        <v>3.0</v>
      </c>
      <c r="F147" s="8" t="s">
        <v>581</v>
      </c>
    </row>
    <row r="148" ht="15.75" customHeight="1">
      <c r="A148" s="6">
        <v>147.0</v>
      </c>
      <c r="B148" s="9" t="s">
        <v>107</v>
      </c>
      <c r="C148" s="9" t="s">
        <v>582</v>
      </c>
      <c r="D148" s="9" t="s">
        <v>583</v>
      </c>
      <c r="E148" s="9">
        <v>5.0</v>
      </c>
      <c r="F148" s="8" t="s">
        <v>584</v>
      </c>
    </row>
    <row r="149" ht="15.75" customHeight="1">
      <c r="A149" s="6">
        <v>148.0</v>
      </c>
      <c r="B149" s="9" t="s">
        <v>42</v>
      </c>
      <c r="C149" s="9" t="s">
        <v>585</v>
      </c>
      <c r="D149" s="9" t="s">
        <v>124</v>
      </c>
      <c r="E149" s="9">
        <v>5.0</v>
      </c>
      <c r="F149" s="8" t="s">
        <v>586</v>
      </c>
    </row>
    <row r="150" ht="15.75" customHeight="1">
      <c r="A150" s="6">
        <v>149.0</v>
      </c>
      <c r="B150" s="9" t="s">
        <v>517</v>
      </c>
      <c r="C150" s="9" t="s">
        <v>587</v>
      </c>
      <c r="D150" s="9" t="s">
        <v>588</v>
      </c>
      <c r="E150" s="9">
        <v>5.0</v>
      </c>
      <c r="F150" s="8" t="s">
        <v>589</v>
      </c>
    </row>
    <row r="151" ht="15.75" customHeight="1">
      <c r="A151" s="6">
        <v>150.0</v>
      </c>
      <c r="B151" s="9" t="s">
        <v>146</v>
      </c>
      <c r="C151" s="12" t="s">
        <v>590</v>
      </c>
      <c r="D151" s="9" t="s">
        <v>591</v>
      </c>
      <c r="E151" s="9">
        <v>3.0</v>
      </c>
      <c r="F151" s="8" t="s">
        <v>592</v>
      </c>
    </row>
    <row r="152" ht="15.75" customHeight="1">
      <c r="A152" s="6">
        <v>151.0</v>
      </c>
      <c r="B152" s="9" t="s">
        <v>146</v>
      </c>
      <c r="C152" s="12" t="s">
        <v>593</v>
      </c>
      <c r="D152" s="9" t="s">
        <v>594</v>
      </c>
      <c r="E152" s="9">
        <v>3.0</v>
      </c>
      <c r="F152" s="8" t="s">
        <v>595</v>
      </c>
    </row>
    <row r="153" ht="15.75" customHeight="1">
      <c r="A153" s="6">
        <v>152.0</v>
      </c>
      <c r="B153" s="9" t="s">
        <v>146</v>
      </c>
      <c r="C153" s="12" t="s">
        <v>596</v>
      </c>
      <c r="D153" s="9" t="s">
        <v>597</v>
      </c>
      <c r="E153" s="9">
        <v>3.0</v>
      </c>
      <c r="F153" s="8" t="s">
        <v>598</v>
      </c>
    </row>
    <row r="154" ht="15.75" customHeight="1">
      <c r="A154" s="6">
        <v>153.0</v>
      </c>
      <c r="B154" s="9" t="s">
        <v>271</v>
      </c>
      <c r="C154" s="9" t="s">
        <v>599</v>
      </c>
      <c r="D154" s="9" t="s">
        <v>600</v>
      </c>
      <c r="E154" s="9">
        <v>5.0</v>
      </c>
      <c r="F154" s="8" t="s">
        <v>601</v>
      </c>
    </row>
    <row r="155" ht="15.75" customHeight="1">
      <c r="A155" s="6">
        <v>154.0</v>
      </c>
      <c r="B155" s="9" t="s">
        <v>63</v>
      </c>
      <c r="C155" s="9" t="s">
        <v>602</v>
      </c>
      <c r="D155" s="9" t="s">
        <v>603</v>
      </c>
      <c r="E155" s="9">
        <v>5.0</v>
      </c>
      <c r="F155" s="11" t="s">
        <v>67</v>
      </c>
    </row>
    <row r="156" ht="15.75" customHeight="1">
      <c r="A156" s="6">
        <v>155.0</v>
      </c>
      <c r="B156" s="9" t="s">
        <v>426</v>
      </c>
      <c r="C156" s="9" t="s">
        <v>604</v>
      </c>
      <c r="D156" s="9" t="s">
        <v>79</v>
      </c>
      <c r="E156" s="9">
        <v>5.0</v>
      </c>
      <c r="F156" s="8" t="s">
        <v>605</v>
      </c>
    </row>
    <row r="157" ht="15.75" customHeight="1">
      <c r="A157" s="6">
        <v>156.0</v>
      </c>
      <c r="B157" s="9" t="s">
        <v>291</v>
      </c>
      <c r="C157" s="9" t="s">
        <v>606</v>
      </c>
      <c r="D157" s="9" t="s">
        <v>607</v>
      </c>
      <c r="E157" s="9">
        <v>4.0</v>
      </c>
      <c r="F157" s="8" t="s">
        <v>608</v>
      </c>
    </row>
    <row r="158" ht="15.75" customHeight="1">
      <c r="A158" s="6">
        <v>157.0</v>
      </c>
      <c r="B158" s="9" t="s">
        <v>267</v>
      </c>
      <c r="C158" s="9" t="s">
        <v>609</v>
      </c>
      <c r="D158" s="9" t="s">
        <v>610</v>
      </c>
      <c r="E158" s="9">
        <v>5.0</v>
      </c>
      <c r="F158" s="8" t="s">
        <v>611</v>
      </c>
    </row>
    <row r="159" ht="15.75" customHeight="1">
      <c r="A159" s="6">
        <v>158.0</v>
      </c>
      <c r="B159" s="9" t="s">
        <v>107</v>
      </c>
      <c r="C159" s="9" t="s">
        <v>612</v>
      </c>
      <c r="D159" s="9" t="s">
        <v>25</v>
      </c>
      <c r="E159" s="9">
        <v>5.0</v>
      </c>
      <c r="F159" s="8" t="s">
        <v>613</v>
      </c>
    </row>
    <row r="160" ht="15.75" customHeight="1">
      <c r="A160" s="6">
        <v>159.0</v>
      </c>
      <c r="B160" s="9" t="s">
        <v>146</v>
      </c>
      <c r="C160" s="12" t="s">
        <v>614</v>
      </c>
      <c r="D160" s="9" t="s">
        <v>615</v>
      </c>
      <c r="E160" s="9">
        <v>3.0</v>
      </c>
      <c r="F160" s="8" t="s">
        <v>616</v>
      </c>
    </row>
    <row r="161" ht="15.75" customHeight="1">
      <c r="A161" s="6">
        <v>160.0</v>
      </c>
      <c r="B161" s="9" t="s">
        <v>63</v>
      </c>
      <c r="C161" s="9" t="s">
        <v>617</v>
      </c>
      <c r="D161" s="9" t="s">
        <v>618</v>
      </c>
      <c r="E161" s="9">
        <v>5.0</v>
      </c>
      <c r="F161" s="11" t="s">
        <v>67</v>
      </c>
    </row>
    <row r="162" ht="15.75" customHeight="1">
      <c r="A162" s="6">
        <v>161.0</v>
      </c>
      <c r="B162" s="9" t="s">
        <v>16</v>
      </c>
      <c r="C162" s="9" t="s">
        <v>619</v>
      </c>
      <c r="D162" s="9" t="s">
        <v>620</v>
      </c>
      <c r="E162" s="9">
        <v>5.0</v>
      </c>
      <c r="F162" s="8" t="s">
        <v>621</v>
      </c>
    </row>
    <row r="163" ht="15.75" customHeight="1">
      <c r="A163" s="6">
        <v>162.0</v>
      </c>
      <c r="B163" s="9" t="s">
        <v>287</v>
      </c>
      <c r="C163" s="9" t="s">
        <v>622</v>
      </c>
      <c r="D163" s="9" t="s">
        <v>174</v>
      </c>
      <c r="E163" s="9">
        <v>5.0</v>
      </c>
      <c r="F163" s="8" t="s">
        <v>623</v>
      </c>
    </row>
    <row r="164" ht="15.75" customHeight="1">
      <c r="A164" s="6">
        <v>163.0</v>
      </c>
      <c r="B164" s="9" t="s">
        <v>63</v>
      </c>
      <c r="C164" s="9" t="s">
        <v>624</v>
      </c>
      <c r="D164" s="9" t="s">
        <v>76</v>
      </c>
      <c r="E164" s="9">
        <v>5.0</v>
      </c>
      <c r="F164" s="11" t="s">
        <v>67</v>
      </c>
    </row>
    <row r="165" ht="15.75" customHeight="1">
      <c r="A165" s="6">
        <v>164.0</v>
      </c>
      <c r="B165" s="9" t="s">
        <v>107</v>
      </c>
      <c r="C165" s="9" t="s">
        <v>625</v>
      </c>
      <c r="D165" s="9" t="s">
        <v>626</v>
      </c>
      <c r="E165" s="9">
        <v>5.0</v>
      </c>
      <c r="F165" s="8" t="s">
        <v>627</v>
      </c>
    </row>
    <row r="166" ht="15.75" customHeight="1">
      <c r="A166" s="6">
        <v>165.0</v>
      </c>
      <c r="B166" s="9" t="s">
        <v>307</v>
      </c>
      <c r="C166" s="9" t="s">
        <v>628</v>
      </c>
      <c r="D166" s="9" t="s">
        <v>629</v>
      </c>
      <c r="E166" s="9">
        <v>5.0</v>
      </c>
      <c r="F166" s="8" t="s">
        <v>630</v>
      </c>
    </row>
    <row r="167" ht="15.75" customHeight="1">
      <c r="A167" s="6">
        <v>166.0</v>
      </c>
      <c r="B167" s="9" t="s">
        <v>307</v>
      </c>
      <c r="C167" s="9" t="s">
        <v>631</v>
      </c>
      <c r="D167" s="9" t="s">
        <v>632</v>
      </c>
      <c r="E167" s="9">
        <v>5.0</v>
      </c>
      <c r="F167" s="8" t="s">
        <v>633</v>
      </c>
    </row>
    <row r="168" ht="15.75" customHeight="1">
      <c r="A168" s="6">
        <v>167.0</v>
      </c>
      <c r="B168" s="9" t="s">
        <v>31</v>
      </c>
      <c r="C168" s="9" t="s">
        <v>634</v>
      </c>
      <c r="D168" s="9" t="s">
        <v>254</v>
      </c>
      <c r="E168" s="9">
        <v>5.0</v>
      </c>
      <c r="F168" s="8" t="s">
        <v>635</v>
      </c>
    </row>
    <row r="169" ht="15.75" customHeight="1">
      <c r="A169" s="6">
        <v>168.0</v>
      </c>
      <c r="B169" s="9" t="s">
        <v>146</v>
      </c>
      <c r="C169" s="12" t="s">
        <v>636</v>
      </c>
      <c r="D169" s="9" t="s">
        <v>637</v>
      </c>
      <c r="E169" s="9">
        <v>3.0</v>
      </c>
      <c r="F169" s="8" t="s">
        <v>638</v>
      </c>
    </row>
    <row r="170" ht="15.75" customHeight="1">
      <c r="A170" s="6">
        <v>169.0</v>
      </c>
      <c r="B170" s="9" t="s">
        <v>146</v>
      </c>
      <c r="C170" s="12" t="s">
        <v>639</v>
      </c>
      <c r="D170" s="9" t="s">
        <v>640</v>
      </c>
      <c r="E170" s="9">
        <v>3.0</v>
      </c>
      <c r="F170" s="8" t="s">
        <v>641</v>
      </c>
    </row>
    <row r="171" ht="15.75" customHeight="1">
      <c r="A171" s="6">
        <v>170.0</v>
      </c>
      <c r="B171" s="9" t="s">
        <v>307</v>
      </c>
      <c r="C171" s="9" t="s">
        <v>642</v>
      </c>
      <c r="D171" s="9" t="s">
        <v>643</v>
      </c>
      <c r="E171" s="9">
        <v>5.0</v>
      </c>
      <c r="F171" s="8" t="s">
        <v>644</v>
      </c>
    </row>
    <row r="172" ht="15.75" customHeight="1">
      <c r="A172" s="6">
        <v>171.0</v>
      </c>
      <c r="B172" s="9" t="s">
        <v>31</v>
      </c>
      <c r="C172" s="9" t="s">
        <v>645</v>
      </c>
      <c r="D172" s="9" t="s">
        <v>145</v>
      </c>
      <c r="E172" s="9">
        <v>5.0</v>
      </c>
      <c r="F172" s="8" t="s">
        <v>646</v>
      </c>
    </row>
    <row r="173" ht="15.75" customHeight="1">
      <c r="A173" s="6">
        <v>172.0</v>
      </c>
      <c r="B173" s="9" t="s">
        <v>204</v>
      </c>
      <c r="C173" s="9" t="s">
        <v>647</v>
      </c>
      <c r="D173" s="9" t="s">
        <v>648</v>
      </c>
      <c r="E173" s="9">
        <v>5.0</v>
      </c>
      <c r="F173" s="8" t="s">
        <v>649</v>
      </c>
    </row>
    <row r="174" ht="15.75" customHeight="1">
      <c r="A174" s="6">
        <v>173.0</v>
      </c>
      <c r="B174" s="9" t="s">
        <v>224</v>
      </c>
      <c r="C174" s="9" t="s">
        <v>650</v>
      </c>
      <c r="D174" s="9" t="s">
        <v>651</v>
      </c>
      <c r="E174" s="9">
        <v>5.0</v>
      </c>
      <c r="F174" s="8" t="s">
        <v>652</v>
      </c>
    </row>
    <row r="175" ht="15.75" customHeight="1">
      <c r="A175" s="6">
        <v>174.0</v>
      </c>
      <c r="B175" s="9" t="s">
        <v>146</v>
      </c>
      <c r="C175" s="12" t="s">
        <v>653</v>
      </c>
      <c r="D175" s="9" t="s">
        <v>654</v>
      </c>
      <c r="E175" s="9">
        <v>3.0</v>
      </c>
      <c r="F175" s="8" t="s">
        <v>655</v>
      </c>
    </row>
    <row r="176" ht="15.75" customHeight="1">
      <c r="A176" s="6">
        <v>175.0</v>
      </c>
      <c r="B176" s="9" t="s">
        <v>146</v>
      </c>
      <c r="C176" s="12" t="s">
        <v>656</v>
      </c>
      <c r="D176" s="9" t="s">
        <v>657</v>
      </c>
      <c r="E176" s="9">
        <v>3.0</v>
      </c>
      <c r="F176" s="8" t="s">
        <v>658</v>
      </c>
    </row>
    <row r="177" ht="15.75" customHeight="1">
      <c r="A177" s="6">
        <v>176.0</v>
      </c>
      <c r="B177" s="9" t="s">
        <v>312</v>
      </c>
      <c r="C177" s="9" t="s">
        <v>659</v>
      </c>
      <c r="D177" s="9" t="s">
        <v>214</v>
      </c>
      <c r="E177" s="9">
        <v>5.0</v>
      </c>
      <c r="F177" s="8" t="s">
        <v>660</v>
      </c>
    </row>
    <row r="178" ht="15.75" customHeight="1">
      <c r="A178" s="6">
        <v>177.0</v>
      </c>
      <c r="B178" s="9" t="s">
        <v>146</v>
      </c>
      <c r="C178" s="12" t="s">
        <v>661</v>
      </c>
      <c r="D178" s="9" t="s">
        <v>662</v>
      </c>
      <c r="E178" s="9">
        <v>3.0</v>
      </c>
      <c r="F178" s="11" t="s">
        <v>67</v>
      </c>
    </row>
    <row r="179" ht="15.75" customHeight="1">
      <c r="A179" s="6">
        <v>178.0</v>
      </c>
      <c r="B179" s="9" t="s">
        <v>97</v>
      </c>
      <c r="C179" s="9" t="s">
        <v>663</v>
      </c>
      <c r="D179" s="9" t="s">
        <v>15</v>
      </c>
      <c r="E179" s="9">
        <v>5.0</v>
      </c>
      <c r="F179" s="8" t="s">
        <v>664</v>
      </c>
    </row>
    <row r="180" ht="15.75" customHeight="1">
      <c r="A180" s="6">
        <v>179.0</v>
      </c>
      <c r="B180" s="9" t="s">
        <v>307</v>
      </c>
      <c r="C180" s="9" t="s">
        <v>665</v>
      </c>
      <c r="D180" s="9" t="s">
        <v>666</v>
      </c>
      <c r="E180" s="9">
        <v>5.0</v>
      </c>
      <c r="F180" s="8" t="s">
        <v>667</v>
      </c>
    </row>
    <row r="181" ht="15.75" customHeight="1">
      <c r="A181" s="6">
        <v>180.0</v>
      </c>
      <c r="B181" s="9" t="s">
        <v>146</v>
      </c>
      <c r="C181" s="12" t="s">
        <v>668</v>
      </c>
      <c r="D181" s="9" t="s">
        <v>669</v>
      </c>
      <c r="E181" s="9">
        <v>3.0</v>
      </c>
      <c r="F181" s="8" t="s">
        <v>670</v>
      </c>
    </row>
    <row r="182" ht="15.75" customHeight="1">
      <c r="A182" s="6">
        <v>181.0</v>
      </c>
      <c r="B182" s="9" t="s">
        <v>70</v>
      </c>
      <c r="C182" s="9" t="s">
        <v>671</v>
      </c>
      <c r="D182" s="9" t="s">
        <v>672</v>
      </c>
      <c r="E182" s="9">
        <v>5.0</v>
      </c>
      <c r="F182" s="8" t="s">
        <v>673</v>
      </c>
    </row>
    <row r="183" ht="15.75" customHeight="1">
      <c r="A183" s="6">
        <v>182.0</v>
      </c>
      <c r="B183" s="9" t="s">
        <v>146</v>
      </c>
      <c r="C183" s="12" t="s">
        <v>674</v>
      </c>
      <c r="D183" s="9" t="s">
        <v>675</v>
      </c>
      <c r="E183" s="9">
        <v>3.0</v>
      </c>
      <c r="F183" s="8" t="s">
        <v>676</v>
      </c>
    </row>
    <row r="184" ht="15.75" customHeight="1">
      <c r="A184" s="6">
        <v>183.0</v>
      </c>
      <c r="B184" s="9" t="s">
        <v>146</v>
      </c>
      <c r="C184" s="12" t="s">
        <v>677</v>
      </c>
      <c r="D184" s="9" t="s">
        <v>678</v>
      </c>
      <c r="E184" s="9">
        <v>3.0</v>
      </c>
      <c r="F184" s="11" t="s">
        <v>67</v>
      </c>
    </row>
    <row r="185" ht="15.75" customHeight="1">
      <c r="A185" s="6">
        <v>184.0</v>
      </c>
      <c r="B185" s="9" t="s">
        <v>146</v>
      </c>
      <c r="C185" s="12" t="s">
        <v>679</v>
      </c>
      <c r="D185" s="9" t="s">
        <v>680</v>
      </c>
      <c r="E185" s="9">
        <v>3.0</v>
      </c>
      <c r="F185" s="8" t="s">
        <v>681</v>
      </c>
    </row>
  </sheetData>
  <hyperlinks>
    <hyperlink r:id="rId1" ref="F2"/>
    <hyperlink r:id="rId2" ref="F3"/>
    <hyperlink r:id="rId3" ref="F4"/>
    <hyperlink r:id="rId4" ref="F5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6"/>
    <hyperlink r:id="rId72" ref="F77"/>
    <hyperlink r:id="rId73" ref="F78"/>
    <hyperlink r:id="rId74" ref="F79"/>
    <hyperlink r:id="rId75" ref="F80"/>
    <hyperlink r:id="rId76" ref="F81"/>
    <hyperlink r:id="rId77" ref="F82"/>
    <hyperlink r:id="rId78" ref="F83"/>
    <hyperlink r:id="rId79" ref="F84"/>
    <hyperlink r:id="rId80" ref="F85"/>
    <hyperlink r:id="rId81" ref="F86"/>
    <hyperlink r:id="rId82" ref="F87"/>
    <hyperlink r:id="rId83" ref="F88"/>
    <hyperlink r:id="rId84" ref="F89"/>
    <hyperlink r:id="rId85" ref="F90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F98"/>
    <hyperlink r:id="rId94" ref="F99"/>
    <hyperlink r:id="rId95" ref="F100"/>
    <hyperlink r:id="rId96" ref="F101"/>
    <hyperlink r:id="rId97" ref="F102"/>
    <hyperlink r:id="rId98" ref="F103"/>
    <hyperlink r:id="rId99" ref="F104"/>
    <hyperlink r:id="rId100" ref="F105"/>
    <hyperlink r:id="rId101" ref="F106"/>
    <hyperlink r:id="rId102" ref="F107"/>
    <hyperlink r:id="rId103" ref="F108"/>
    <hyperlink r:id="rId104" ref="F109"/>
    <hyperlink r:id="rId105" ref="F110"/>
    <hyperlink r:id="rId106" ref="F111"/>
    <hyperlink r:id="rId107" ref="F112"/>
    <hyperlink r:id="rId108" ref="F113"/>
    <hyperlink r:id="rId109" ref="F114"/>
    <hyperlink r:id="rId110" ref="F115"/>
    <hyperlink r:id="rId111" ref="F116"/>
    <hyperlink r:id="rId112" ref="F117"/>
    <hyperlink r:id="rId113" ref="F118"/>
    <hyperlink r:id="rId114" ref="F119"/>
    <hyperlink r:id="rId115" ref="F120"/>
    <hyperlink r:id="rId116" ref="F121"/>
    <hyperlink r:id="rId117" ref="F122"/>
    <hyperlink r:id="rId118" ref="F123"/>
    <hyperlink r:id="rId119" ref="F124"/>
    <hyperlink r:id="rId120" ref="F125"/>
    <hyperlink r:id="rId121" ref="F126"/>
    <hyperlink r:id="rId122" ref="F127"/>
    <hyperlink r:id="rId123" ref="F128"/>
    <hyperlink r:id="rId124" ref="F129"/>
    <hyperlink r:id="rId125" ref="F130"/>
    <hyperlink r:id="rId126" ref="F131"/>
    <hyperlink r:id="rId127" ref="F132"/>
    <hyperlink r:id="rId128" ref="F133"/>
    <hyperlink r:id="rId129" ref="F134"/>
    <hyperlink r:id="rId130" ref="F135"/>
    <hyperlink r:id="rId131" ref="F136"/>
    <hyperlink r:id="rId132" ref="F137"/>
    <hyperlink r:id="rId133" ref="F138"/>
    <hyperlink r:id="rId134" ref="F139"/>
    <hyperlink r:id="rId135" ref="F140"/>
    <hyperlink r:id="rId136" ref="F141"/>
    <hyperlink r:id="rId137" ref="F142"/>
    <hyperlink r:id="rId138" ref="F143"/>
    <hyperlink r:id="rId139" ref="F144"/>
    <hyperlink r:id="rId140" ref="F145"/>
    <hyperlink r:id="rId141" ref="F146"/>
    <hyperlink r:id="rId142" ref="F147"/>
    <hyperlink r:id="rId143" ref="F148"/>
    <hyperlink r:id="rId144" ref="F149"/>
    <hyperlink r:id="rId145" ref="F150"/>
    <hyperlink r:id="rId146" ref="F151"/>
    <hyperlink r:id="rId147" ref="F152"/>
    <hyperlink r:id="rId148" ref="F153"/>
    <hyperlink r:id="rId149" ref="F154"/>
    <hyperlink r:id="rId150" ref="F156"/>
    <hyperlink r:id="rId151" ref="F157"/>
    <hyperlink r:id="rId152" ref="F158"/>
    <hyperlink r:id="rId153" ref="F159"/>
    <hyperlink r:id="rId154" ref="F160"/>
    <hyperlink r:id="rId155" ref="F162"/>
    <hyperlink r:id="rId156" ref="F163"/>
    <hyperlink r:id="rId157" ref="F165"/>
    <hyperlink r:id="rId158" ref="F166"/>
    <hyperlink r:id="rId159" ref="F167"/>
    <hyperlink r:id="rId160" ref="F168"/>
    <hyperlink r:id="rId161" ref="F169"/>
    <hyperlink r:id="rId162" ref="F170"/>
    <hyperlink r:id="rId163" ref="F171"/>
    <hyperlink r:id="rId164" ref="F172"/>
    <hyperlink r:id="rId165" ref="F173"/>
    <hyperlink r:id="rId166" ref="F174"/>
    <hyperlink r:id="rId167" ref="F175"/>
    <hyperlink r:id="rId168" ref="F176"/>
    <hyperlink r:id="rId169" ref="F177"/>
    <hyperlink r:id="rId170" ref="F179"/>
    <hyperlink r:id="rId171" ref="F180"/>
    <hyperlink r:id="rId172" ref="F181"/>
    <hyperlink r:id="rId173" ref="F182"/>
    <hyperlink r:id="rId174" ref="F183"/>
    <hyperlink r:id="rId175" ref="F185"/>
  </hyperlinks>
  <printOptions/>
  <pageMargins bottom="0.75" footer="0.0" header="0.0" left="0.7" right="0.7" top="0.75"/>
  <pageSetup orientation="landscape"/>
  <drawing r:id="rId17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2" t="s">
        <v>1</v>
      </c>
      <c r="B1" s="2" t="s">
        <v>3</v>
      </c>
      <c r="C1" s="4"/>
      <c r="D1" s="2" t="s">
        <v>5</v>
      </c>
      <c r="E1" s="2" t="s">
        <v>6</v>
      </c>
      <c r="F1" s="4"/>
      <c r="G1" s="4"/>
      <c r="H1" s="2" t="s">
        <v>8</v>
      </c>
      <c r="I1" s="4"/>
      <c r="J1" s="2" t="s">
        <v>9</v>
      </c>
      <c r="K1" s="4"/>
      <c r="L1" s="4"/>
      <c r="M1" s="4"/>
    </row>
    <row r="2" ht="15.75" customHeight="1">
      <c r="A2" s="4" t="s">
        <v>11</v>
      </c>
      <c r="B2" s="4" t="s">
        <v>12</v>
      </c>
      <c r="C2" s="4"/>
      <c r="D2" s="4" t="s">
        <v>13</v>
      </c>
      <c r="E2" s="4" t="s">
        <v>15</v>
      </c>
      <c r="F2" s="4"/>
      <c r="G2" s="4"/>
      <c r="H2" s="4" t="s">
        <v>11</v>
      </c>
      <c r="I2" s="4"/>
      <c r="J2" s="2" t="s">
        <v>13</v>
      </c>
      <c r="K2" s="4"/>
      <c r="L2" s="4"/>
      <c r="M2" s="2" t="str">
        <f>IFERROR(__xludf.DUMMYFUNCTION("FILTER(J2:J1000, COUNTIF(H2:H1000, J2:J1000)=0)"),"Advanced Creative Writing")</f>
        <v>Advanced Creative Writing</v>
      </c>
    </row>
    <row r="3" ht="15.75" customHeight="1">
      <c r="A3" s="4" t="s">
        <v>20</v>
      </c>
      <c r="B3" s="4" t="s">
        <v>21</v>
      </c>
      <c r="C3" s="4"/>
      <c r="D3" s="4" t="s">
        <v>22</v>
      </c>
      <c r="E3" s="4" t="s">
        <v>23</v>
      </c>
      <c r="F3" s="4"/>
      <c r="G3" s="4"/>
      <c r="H3" s="4" t="s">
        <v>20</v>
      </c>
      <c r="I3" s="4"/>
      <c r="J3" s="2" t="s">
        <v>22</v>
      </c>
      <c r="K3" s="4"/>
      <c r="L3" s="4"/>
      <c r="M3" s="2" t="str">
        <f>IFERROR(__xludf.DUMMYFUNCTION("""COMPUTED_VALUE"""),"An Invitation to Discrete Mathematics")</f>
        <v>An Invitation to Discrete Mathematics</v>
      </c>
    </row>
    <row r="4" ht="15.75" customHeight="1">
      <c r="A4" s="4" t="s">
        <v>24</v>
      </c>
      <c r="B4" s="4" t="s">
        <v>25</v>
      </c>
      <c r="C4" s="4"/>
      <c r="D4" s="4" t="s">
        <v>26</v>
      </c>
      <c r="E4" s="4" t="s">
        <v>27</v>
      </c>
      <c r="F4" s="4"/>
      <c r="G4" s="4"/>
      <c r="H4" s="4" t="s">
        <v>24</v>
      </c>
      <c r="I4" s="4"/>
      <c r="J4" s="2" t="s">
        <v>26</v>
      </c>
      <c r="K4" s="4"/>
      <c r="L4" s="4"/>
      <c r="M4" s="2" t="str">
        <f>IFERROR(__xludf.DUMMYFUNCTION("""COMPUTED_VALUE"""),"Applied Game Theory")</f>
        <v>Applied Game Theory</v>
      </c>
    </row>
    <row r="5" ht="15.75" customHeight="1">
      <c r="A5" s="4" t="s">
        <v>28</v>
      </c>
      <c r="B5" s="4" t="s">
        <v>29</v>
      </c>
      <c r="C5" s="4"/>
      <c r="D5" s="4" t="s">
        <v>30</v>
      </c>
      <c r="E5" s="4" t="s">
        <v>32</v>
      </c>
      <c r="F5" s="4"/>
      <c r="G5" s="4"/>
      <c r="H5" s="4" t="s">
        <v>28</v>
      </c>
      <c r="I5" s="4"/>
      <c r="J5" s="2" t="s">
        <v>30</v>
      </c>
      <c r="K5" s="4"/>
      <c r="L5" s="4"/>
      <c r="M5" s="10" t="str">
        <f>IFERROR(__xludf.DUMMYFUNCTION("""COMPUTED_VALUE"""),"Arguing about Art")</f>
        <v>Arguing about Art</v>
      </c>
    </row>
    <row r="6" ht="15.75" customHeight="1">
      <c r="A6" s="4" t="s">
        <v>15</v>
      </c>
      <c r="B6" s="4" t="s">
        <v>36</v>
      </c>
      <c r="C6" s="4"/>
      <c r="D6" s="4" t="s">
        <v>37</v>
      </c>
      <c r="E6" s="4" t="s">
        <v>38</v>
      </c>
      <c r="F6" s="4"/>
      <c r="G6" s="4"/>
      <c r="H6" s="4" t="s">
        <v>15</v>
      </c>
      <c r="I6" s="4"/>
      <c r="J6" s="4" t="s">
        <v>37</v>
      </c>
      <c r="K6" s="4"/>
      <c r="L6" s="4"/>
      <c r="M6" s="2" t="str">
        <f>IFERROR(__xludf.DUMMYFUNCTION("""COMPUTED_VALUE"""),"Astronomy")</f>
        <v>Astronomy</v>
      </c>
    </row>
    <row r="7" ht="15.75" customHeight="1">
      <c r="A7" s="4" t="s">
        <v>23</v>
      </c>
      <c r="B7" s="4" t="s">
        <v>39</v>
      </c>
      <c r="C7" s="4"/>
      <c r="D7" s="4" t="s">
        <v>40</v>
      </c>
      <c r="E7" s="4" t="s">
        <v>41</v>
      </c>
      <c r="F7" s="4"/>
      <c r="G7" s="4"/>
      <c r="H7" s="4" t="s">
        <v>23</v>
      </c>
      <c r="I7" s="4"/>
      <c r="J7" s="4" t="s">
        <v>40</v>
      </c>
      <c r="K7" s="4"/>
      <c r="L7" s="4"/>
      <c r="M7" s="2" t="str">
        <f>IFERROR(__xludf.DUMMYFUNCTION("""COMPUTED_VALUE"""),"Behavioural Economics")</f>
        <v>Behavioural Economics</v>
      </c>
    </row>
    <row r="8" ht="15.75" customHeight="1">
      <c r="A8" s="4" t="s">
        <v>46</v>
      </c>
      <c r="B8" s="4" t="s">
        <v>47</v>
      </c>
      <c r="C8" s="4"/>
      <c r="D8" s="4" t="s">
        <v>48</v>
      </c>
      <c r="E8" s="4" t="s">
        <v>49</v>
      </c>
      <c r="F8" s="4"/>
      <c r="G8" s="4"/>
      <c r="H8" s="4" t="s">
        <v>46</v>
      </c>
      <c r="I8" s="4"/>
      <c r="J8" s="4" t="s">
        <v>48</v>
      </c>
      <c r="K8" s="4"/>
      <c r="L8" s="4"/>
      <c r="M8" s="2" t="str">
        <f>IFERROR(__xludf.DUMMYFUNCTION("""COMPUTED_VALUE"""),"Causal Inference")</f>
        <v>Causal Inference</v>
      </c>
    </row>
    <row r="9" ht="15.75" customHeight="1">
      <c r="A9" s="4" t="s">
        <v>50</v>
      </c>
      <c r="B9" s="4" t="s">
        <v>51</v>
      </c>
      <c r="C9" s="4"/>
      <c r="D9" s="4" t="s">
        <v>48</v>
      </c>
      <c r="E9" s="4" t="s">
        <v>53</v>
      </c>
      <c r="F9" s="4"/>
      <c r="G9" s="4"/>
      <c r="H9" s="4" t="s">
        <v>50</v>
      </c>
      <c r="I9" s="4"/>
      <c r="J9" s="4" t="s">
        <v>48</v>
      </c>
      <c r="K9" s="4"/>
      <c r="L9" s="4"/>
      <c r="M9" s="2" t="str">
        <f>IFERROR(__xludf.DUMMYFUNCTION("""COMPUTED_VALUE"""),"Complex Analysis")</f>
        <v>Complex Analysis</v>
      </c>
    </row>
    <row r="10" ht="15.75" customHeight="1">
      <c r="A10" s="4" t="s">
        <v>57</v>
      </c>
      <c r="B10" s="4" t="s">
        <v>58</v>
      </c>
      <c r="C10" s="4"/>
      <c r="D10" s="4" t="s">
        <v>48</v>
      </c>
      <c r="E10" s="4" t="s">
        <v>59</v>
      </c>
      <c r="F10" s="4"/>
      <c r="G10" s="4"/>
      <c r="H10" s="4" t="s">
        <v>57</v>
      </c>
      <c r="I10" s="4"/>
      <c r="J10" s="4" t="s">
        <v>48</v>
      </c>
      <c r="K10" s="4"/>
      <c r="L10" s="4"/>
      <c r="M10" s="2" t="str">
        <f>IFERROR(__xludf.DUMMYFUNCTION("""COMPUTED_VALUE"""),"Environmental History: Concepts and Concerns")</f>
        <v>Environmental History: Concepts and Concerns</v>
      </c>
    </row>
    <row r="11" ht="15.75" customHeight="1">
      <c r="A11" s="4" t="s">
        <v>27</v>
      </c>
      <c r="B11" s="4" t="s">
        <v>60</v>
      </c>
      <c r="C11" s="4"/>
      <c r="D11" s="4" t="s">
        <v>61</v>
      </c>
      <c r="E11" s="4" t="s">
        <v>62</v>
      </c>
      <c r="F11" s="4"/>
      <c r="G11" s="4"/>
      <c r="H11" s="4" t="s">
        <v>27</v>
      </c>
      <c r="I11" s="4"/>
      <c r="J11" s="4" t="s">
        <v>61</v>
      </c>
      <c r="K11" s="4"/>
      <c r="L11" s="4"/>
      <c r="M11" s="2" t="str">
        <f>IFERROR(__xludf.DUMMYFUNCTION("""COMPUTED_VALUE"""),"International Trade")</f>
        <v>International Trade</v>
      </c>
    </row>
    <row r="12" ht="15.75" customHeight="1">
      <c r="A12" s="4" t="s">
        <v>32</v>
      </c>
      <c r="B12" s="4" t="s">
        <v>66</v>
      </c>
      <c r="C12" s="4"/>
      <c r="D12" s="4" t="s">
        <v>68</v>
      </c>
      <c r="E12" s="4" t="s">
        <v>69</v>
      </c>
      <c r="F12" s="4"/>
      <c r="G12" s="4"/>
      <c r="H12" s="4" t="s">
        <v>32</v>
      </c>
      <c r="I12" s="4"/>
      <c r="J12" s="4" t="s">
        <v>68</v>
      </c>
      <c r="K12" s="4"/>
      <c r="L12" s="4"/>
      <c r="M12" s="2" t="str">
        <f>IFERROR(__xludf.DUMMYFUNCTION("""COMPUTED_VALUE"""),"Introduction to Programming")</f>
        <v>Introduction to Programming</v>
      </c>
    </row>
    <row r="13" ht="15.75" customHeight="1">
      <c r="A13" s="4" t="s">
        <v>71</v>
      </c>
      <c r="B13" s="4" t="s">
        <v>73</v>
      </c>
      <c r="C13" s="4"/>
      <c r="D13" s="4" t="s">
        <v>75</v>
      </c>
      <c r="E13" s="4" t="s">
        <v>76</v>
      </c>
      <c r="F13" s="4"/>
      <c r="G13" s="4"/>
      <c r="H13" s="4" t="s">
        <v>71</v>
      </c>
      <c r="I13" s="4"/>
      <c r="J13" s="4" t="s">
        <v>75</v>
      </c>
      <c r="K13" s="4"/>
      <c r="L13" s="4"/>
      <c r="M13" s="2" t="str">
        <f>IFERROR(__xludf.DUMMYFUNCTION("""COMPUTED_VALUE"""),"Market Design")</f>
        <v>Market Design</v>
      </c>
    </row>
    <row r="14" ht="15.75" customHeight="1">
      <c r="A14" s="4" t="s">
        <v>78</v>
      </c>
      <c r="B14" s="4" t="s">
        <v>79</v>
      </c>
      <c r="C14" s="4"/>
      <c r="D14" s="4" t="s">
        <v>80</v>
      </c>
      <c r="E14" s="4" t="s">
        <v>81</v>
      </c>
      <c r="F14" s="4"/>
      <c r="G14" s="4"/>
      <c r="H14" s="4" t="s">
        <v>78</v>
      </c>
      <c r="I14" s="4"/>
      <c r="J14" s="4" t="s">
        <v>80</v>
      </c>
      <c r="K14" s="4"/>
      <c r="L14" s="4"/>
      <c r="M14" s="2" t="str">
        <f>IFERROR(__xludf.DUMMYFUNCTION("""COMPUTED_VALUE"""),"Methods in Literary Analysis")</f>
        <v>Methods in Literary Analysis</v>
      </c>
    </row>
    <row r="15" ht="15.75" customHeight="1">
      <c r="A15" s="4" t="s">
        <v>82</v>
      </c>
      <c r="B15" s="4" t="s">
        <v>83</v>
      </c>
      <c r="C15" s="4"/>
      <c r="D15" s="4" t="s">
        <v>80</v>
      </c>
      <c r="E15" s="4" t="s">
        <v>84</v>
      </c>
      <c r="F15" s="4"/>
      <c r="G15" s="4"/>
      <c r="H15" s="4" t="s">
        <v>82</v>
      </c>
      <c r="I15" s="4"/>
      <c r="J15" s="4" t="s">
        <v>80</v>
      </c>
      <c r="K15" s="4"/>
      <c r="L15" s="4"/>
      <c r="M15" s="2" t="str">
        <f>IFERROR(__xludf.DUMMYFUNCTION("""COMPUTED_VALUE"""),"Methods in Literary Analysis")</f>
        <v>Methods in Literary Analysis</v>
      </c>
    </row>
    <row r="16" ht="15.75" customHeight="1">
      <c r="A16" s="4" t="s">
        <v>38</v>
      </c>
      <c r="B16" s="4" t="s">
        <v>85</v>
      </c>
      <c r="C16" s="4"/>
      <c r="D16" s="4" t="s">
        <v>86</v>
      </c>
      <c r="E16" s="4" t="s">
        <v>87</v>
      </c>
      <c r="F16" s="4"/>
      <c r="G16" s="4"/>
      <c r="H16" s="4" t="s">
        <v>38</v>
      </c>
      <c r="I16" s="4"/>
      <c r="J16" s="4" t="s">
        <v>86</v>
      </c>
      <c r="K16" s="4"/>
      <c r="L16" s="4"/>
      <c r="M16" s="2" t="str">
        <f>IFERROR(__xludf.DUMMYFUNCTION("""COMPUTED_VALUE"""),"Reasoning")</f>
        <v>Reasoning</v>
      </c>
    </row>
    <row r="17" ht="15.75" customHeight="1">
      <c r="A17" s="4" t="s">
        <v>90</v>
      </c>
      <c r="B17" s="4" t="s">
        <v>91</v>
      </c>
      <c r="C17" s="4"/>
      <c r="D17" s="4" t="s">
        <v>92</v>
      </c>
      <c r="E17" s="4" t="s">
        <v>94</v>
      </c>
      <c r="F17" s="4"/>
      <c r="G17" s="4"/>
      <c r="H17" s="4" t="s">
        <v>90</v>
      </c>
      <c r="I17" s="4"/>
      <c r="J17" s="4" t="s">
        <v>92</v>
      </c>
      <c r="K17" s="4"/>
      <c r="L17" s="4"/>
      <c r="M17" s="2" t="str">
        <f>IFERROR(__xludf.DUMMYFUNCTION("""COMPUTED_VALUE"""),"The Novel")</f>
        <v>The Novel</v>
      </c>
    </row>
    <row r="18" ht="15.75" customHeight="1">
      <c r="A18" s="4" t="s">
        <v>41</v>
      </c>
      <c r="B18" s="4" t="s">
        <v>95</v>
      </c>
      <c r="C18" s="4"/>
      <c r="D18" s="4" t="s">
        <v>92</v>
      </c>
      <c r="E18" s="4" t="s">
        <v>96</v>
      </c>
      <c r="F18" s="4"/>
      <c r="G18" s="4"/>
      <c r="H18" s="4" t="s">
        <v>41</v>
      </c>
      <c r="I18" s="4"/>
      <c r="J18" s="4" t="s">
        <v>92</v>
      </c>
      <c r="K18" s="4"/>
      <c r="L18" s="4"/>
      <c r="M18" s="2" t="str">
        <f>IFERROR(__xludf.DUMMYFUNCTION("""COMPUTED_VALUE"""),"Themes in Labour History")</f>
        <v>Themes in Labour History</v>
      </c>
    </row>
    <row r="19" ht="15.75" customHeight="1">
      <c r="A19" s="4" t="s">
        <v>99</v>
      </c>
      <c r="B19" s="4" t="s">
        <v>101</v>
      </c>
      <c r="C19" s="4"/>
      <c r="D19" s="4" t="s">
        <v>92</v>
      </c>
      <c r="E19" s="4" t="s">
        <v>103</v>
      </c>
      <c r="F19" s="4"/>
      <c r="G19" s="4"/>
      <c r="H19" s="4" t="s">
        <v>99</v>
      </c>
      <c r="I19" s="4"/>
      <c r="J19" s="4" t="s">
        <v>92</v>
      </c>
      <c r="K19" s="4"/>
      <c r="L19" s="4"/>
      <c r="M19" s="2" t="str">
        <f>IFERROR(__xludf.DUMMYFUNCTION("""COMPUTED_VALUE"""),"Traditions in Motion: A History of South Asian Performative Practices (1000-2000 CE)")</f>
        <v>Traditions in Motion: A History of South Asian Performative Practices (1000-2000 CE)</v>
      </c>
    </row>
    <row r="20" ht="15.75" customHeight="1">
      <c r="A20" s="4" t="s">
        <v>104</v>
      </c>
      <c r="B20" s="4" t="s">
        <v>84</v>
      </c>
      <c r="C20" s="4"/>
      <c r="D20" s="4" t="s">
        <v>105</v>
      </c>
      <c r="E20" s="4" t="s">
        <v>106</v>
      </c>
      <c r="F20" s="4"/>
      <c r="G20" s="4"/>
      <c r="H20" s="4" t="s">
        <v>104</v>
      </c>
      <c r="I20" s="4"/>
      <c r="J20" s="4" t="s">
        <v>105</v>
      </c>
      <c r="K20" s="4"/>
      <c r="L20" s="4"/>
      <c r="M20" s="2" t="str">
        <f>IFERROR(__xludf.DUMMYFUNCTION("""COMPUTED_VALUE"""),"Introduction to PPE")</f>
        <v>Introduction to PPE</v>
      </c>
    </row>
    <row r="21" ht="15.75" customHeight="1">
      <c r="A21" s="4" t="s">
        <v>49</v>
      </c>
      <c r="B21" s="4" t="s">
        <v>108</v>
      </c>
      <c r="C21" s="4"/>
      <c r="D21" s="4" t="s">
        <v>105</v>
      </c>
      <c r="E21" s="4" t="s">
        <v>110</v>
      </c>
      <c r="F21" s="4"/>
      <c r="G21" s="4"/>
      <c r="H21" s="4" t="s">
        <v>49</v>
      </c>
      <c r="I21" s="4"/>
      <c r="J21" s="4" t="s">
        <v>105</v>
      </c>
      <c r="K21" s="4"/>
      <c r="L21" s="4"/>
      <c r="M21" s="2" t="str">
        <f>IFERROR(__xludf.DUMMYFUNCTION("""COMPUTED_VALUE"""),"Quantitative Reasoning: Foundations")</f>
        <v>Quantitative Reasoning: Foundations</v>
      </c>
    </row>
    <row r="22" ht="15.75" customHeight="1">
      <c r="A22" s="4" t="s">
        <v>113</v>
      </c>
      <c r="B22" s="4" t="s">
        <v>114</v>
      </c>
      <c r="C22" s="4"/>
      <c r="D22" s="4" t="s">
        <v>115</v>
      </c>
      <c r="E22" s="4" t="s">
        <v>116</v>
      </c>
      <c r="F22" s="4"/>
      <c r="G22" s="4"/>
      <c r="H22" s="4" t="s">
        <v>113</v>
      </c>
      <c r="I22" s="4"/>
      <c r="J22" s="4" t="s">
        <v>115</v>
      </c>
      <c r="K22" s="4"/>
      <c r="L22" s="4"/>
      <c r="M22" s="2" t="str">
        <f>IFERROR(__xludf.DUMMYFUNCTION("""COMPUTED_VALUE"""),"Indian Sign Language")</f>
        <v>Indian Sign Language</v>
      </c>
    </row>
    <row r="23" ht="15.75" customHeight="1">
      <c r="A23" s="4" t="s">
        <v>53</v>
      </c>
      <c r="B23" s="4" t="s">
        <v>117</v>
      </c>
      <c r="C23" s="4"/>
      <c r="D23" s="4" t="s">
        <v>115</v>
      </c>
      <c r="E23" s="4" t="s">
        <v>118</v>
      </c>
      <c r="F23" s="4"/>
      <c r="G23" s="4"/>
      <c r="H23" s="4" t="s">
        <v>53</v>
      </c>
      <c r="I23" s="4"/>
      <c r="J23" s="4" t="s">
        <v>115</v>
      </c>
      <c r="K23" s="4"/>
      <c r="L23" s="4"/>
      <c r="M23" s="2" t="str">
        <f>IFERROR(__xludf.DUMMYFUNCTION("""COMPUTED_VALUE"""),"Computation for Physics")</f>
        <v>Computation for Physics</v>
      </c>
    </row>
    <row r="24" ht="15.75" customHeight="1">
      <c r="A24" s="4" t="s">
        <v>122</v>
      </c>
      <c r="B24" s="4" t="s">
        <v>123</v>
      </c>
      <c r="C24" s="4"/>
      <c r="D24" s="4" t="s">
        <v>57</v>
      </c>
      <c r="E24" s="4" t="s">
        <v>124</v>
      </c>
      <c r="F24" s="4"/>
      <c r="G24" s="4"/>
      <c r="H24" s="4" t="s">
        <v>122</v>
      </c>
      <c r="I24" s="4"/>
      <c r="J24" s="4" t="s">
        <v>57</v>
      </c>
      <c r="K24" s="4"/>
      <c r="L24" s="4"/>
      <c r="M24" s="2" t="str">
        <f>IFERROR(__xludf.DUMMYFUNCTION("""COMPUTED_VALUE"""),"Discover Biology")</f>
        <v>Discover Biology</v>
      </c>
    </row>
    <row r="25" ht="15.75" customHeight="1">
      <c r="A25" s="4" t="s">
        <v>125</v>
      </c>
      <c r="B25" s="4" t="s">
        <v>126</v>
      </c>
      <c r="C25" s="4"/>
      <c r="D25" s="4" t="s">
        <v>57</v>
      </c>
      <c r="E25" s="4" t="s">
        <v>127</v>
      </c>
      <c r="F25" s="4"/>
      <c r="G25" s="4"/>
      <c r="H25" s="4" t="s">
        <v>125</v>
      </c>
      <c r="I25" s="4"/>
      <c r="J25" s="4" t="s">
        <v>57</v>
      </c>
      <c r="K25" s="4"/>
      <c r="L25" s="4"/>
      <c r="M25" s="4"/>
    </row>
    <row r="26" ht="15.75" customHeight="1">
      <c r="A26" s="4" t="s">
        <v>129</v>
      </c>
      <c r="B26" s="4" t="s">
        <v>130</v>
      </c>
      <c r="C26" s="4"/>
      <c r="D26" s="4" t="s">
        <v>132</v>
      </c>
      <c r="E26" s="4" t="s">
        <v>133</v>
      </c>
      <c r="F26" s="4"/>
      <c r="G26" s="4"/>
      <c r="H26" s="4" t="s">
        <v>129</v>
      </c>
      <c r="I26" s="4"/>
      <c r="J26" s="4" t="s">
        <v>132</v>
      </c>
      <c r="K26" s="4"/>
      <c r="L26" s="4"/>
      <c r="M26" s="4"/>
    </row>
    <row r="27" ht="15.75" customHeight="1">
      <c r="A27" s="4" t="s">
        <v>59</v>
      </c>
      <c r="B27" s="4" t="s">
        <v>135</v>
      </c>
      <c r="C27" s="4"/>
      <c r="D27" s="4" t="s">
        <v>136</v>
      </c>
      <c r="E27" s="4" t="s">
        <v>138</v>
      </c>
      <c r="F27" s="4"/>
      <c r="G27" s="4"/>
      <c r="H27" s="4" t="s">
        <v>59</v>
      </c>
      <c r="I27" s="4"/>
      <c r="J27" s="4" t="s">
        <v>136</v>
      </c>
      <c r="K27" s="4"/>
      <c r="L27" s="4"/>
      <c r="M27" s="4"/>
    </row>
    <row r="28" ht="15.75" customHeight="1">
      <c r="A28" s="4" t="s">
        <v>92</v>
      </c>
      <c r="B28" s="4" t="s">
        <v>139</v>
      </c>
      <c r="C28" s="4"/>
      <c r="D28" s="4" t="s">
        <v>140</v>
      </c>
      <c r="E28" s="4" t="s">
        <v>141</v>
      </c>
      <c r="F28" s="4"/>
      <c r="G28" s="4"/>
      <c r="H28" s="4" t="s">
        <v>92</v>
      </c>
      <c r="I28" s="4"/>
      <c r="J28" s="4" t="s">
        <v>140</v>
      </c>
      <c r="K28" s="4"/>
      <c r="L28" s="4"/>
      <c r="M28" s="4"/>
    </row>
    <row r="29" ht="15.75" customHeight="1">
      <c r="A29" s="4" t="s">
        <v>142</v>
      </c>
      <c r="B29" s="4" t="s">
        <v>143</v>
      </c>
      <c r="C29" s="4"/>
      <c r="D29" s="4" t="s">
        <v>144</v>
      </c>
      <c r="E29" s="4" t="s">
        <v>145</v>
      </c>
      <c r="F29" s="4"/>
      <c r="G29" s="4"/>
      <c r="H29" s="4" t="s">
        <v>142</v>
      </c>
      <c r="I29" s="4"/>
      <c r="J29" s="4" t="s">
        <v>144</v>
      </c>
      <c r="K29" s="4"/>
      <c r="L29" s="4"/>
      <c r="M29" s="4"/>
    </row>
    <row r="30" ht="15.75" customHeight="1">
      <c r="A30" s="4" t="s">
        <v>149</v>
      </c>
      <c r="B30" s="4" t="s">
        <v>150</v>
      </c>
      <c r="C30" s="4"/>
      <c r="D30" s="4" t="s">
        <v>139</v>
      </c>
      <c r="E30" s="4" t="s">
        <v>83</v>
      </c>
      <c r="F30" s="4"/>
      <c r="G30" s="4"/>
      <c r="H30" s="4" t="s">
        <v>149</v>
      </c>
      <c r="I30" s="4"/>
      <c r="J30" s="4" t="s">
        <v>139</v>
      </c>
      <c r="K30" s="4"/>
      <c r="L30" s="4"/>
      <c r="M30" s="4"/>
    </row>
    <row r="31" ht="15.75" customHeight="1">
      <c r="A31" s="4" t="s">
        <v>152</v>
      </c>
      <c r="B31" s="4" t="s">
        <v>153</v>
      </c>
      <c r="C31" s="4"/>
      <c r="D31" s="4" t="s">
        <v>71</v>
      </c>
      <c r="E31" s="4" t="s">
        <v>154</v>
      </c>
      <c r="F31" s="4"/>
      <c r="G31" s="4"/>
      <c r="H31" s="4" t="s">
        <v>152</v>
      </c>
      <c r="I31" s="4"/>
      <c r="J31" s="4" t="s">
        <v>71</v>
      </c>
      <c r="K31" s="4"/>
      <c r="L31" s="4"/>
      <c r="M31" s="4"/>
    </row>
    <row r="32" ht="15.75" customHeight="1">
      <c r="A32" s="4" t="s">
        <v>133</v>
      </c>
      <c r="B32" s="4" t="s">
        <v>157</v>
      </c>
      <c r="C32" s="4"/>
      <c r="D32" s="4" t="s">
        <v>99</v>
      </c>
      <c r="E32" s="4" t="s">
        <v>79</v>
      </c>
      <c r="F32" s="4"/>
      <c r="G32" s="4"/>
      <c r="H32" s="4" t="s">
        <v>133</v>
      </c>
      <c r="I32" s="4"/>
      <c r="J32" s="4" t="s">
        <v>99</v>
      </c>
      <c r="K32" s="4"/>
      <c r="L32" s="4"/>
      <c r="M32" s="4"/>
    </row>
    <row r="33" ht="15.75" customHeight="1">
      <c r="A33" s="4" t="s">
        <v>132</v>
      </c>
      <c r="B33" s="4" t="s">
        <v>159</v>
      </c>
      <c r="C33" s="4"/>
      <c r="D33" s="4" t="s">
        <v>99</v>
      </c>
      <c r="E33" s="4" t="s">
        <v>140</v>
      </c>
      <c r="F33" s="4"/>
      <c r="G33" s="4"/>
      <c r="H33" s="4" t="s">
        <v>132</v>
      </c>
      <c r="I33" s="4"/>
      <c r="J33" s="4" t="s">
        <v>99</v>
      </c>
      <c r="K33" s="4"/>
      <c r="L33" s="4"/>
      <c r="M33" s="4"/>
    </row>
    <row r="34" ht="15.75" customHeight="1">
      <c r="A34" s="4" t="s">
        <v>138</v>
      </c>
      <c r="B34" s="4" t="s">
        <v>160</v>
      </c>
      <c r="C34" s="4"/>
      <c r="D34" s="4" t="s">
        <v>99</v>
      </c>
      <c r="E34" s="4" t="s">
        <v>161</v>
      </c>
      <c r="F34" s="4"/>
      <c r="G34" s="4"/>
      <c r="H34" s="4" t="s">
        <v>138</v>
      </c>
      <c r="I34" s="4"/>
      <c r="J34" s="4" t="s">
        <v>99</v>
      </c>
      <c r="K34" s="4"/>
      <c r="L34" s="4"/>
      <c r="M34" s="4"/>
    </row>
    <row r="35" ht="15.75" customHeight="1">
      <c r="A35" s="4" t="s">
        <v>164</v>
      </c>
      <c r="B35" s="4" t="s">
        <v>166</v>
      </c>
      <c r="C35" s="4"/>
      <c r="D35" s="4" t="s">
        <v>99</v>
      </c>
      <c r="E35" s="4" t="s">
        <v>51</v>
      </c>
      <c r="F35" s="4"/>
      <c r="G35" s="4"/>
      <c r="H35" s="4" t="s">
        <v>164</v>
      </c>
      <c r="I35" s="4"/>
      <c r="J35" s="4" t="s">
        <v>99</v>
      </c>
      <c r="K35" s="4"/>
      <c r="L35" s="4"/>
      <c r="M35" s="4"/>
    </row>
    <row r="36" ht="15.75" customHeight="1">
      <c r="A36" s="4" t="s">
        <v>136</v>
      </c>
      <c r="B36" s="4" t="s">
        <v>168</v>
      </c>
      <c r="C36" s="4"/>
      <c r="D36" s="4" t="s">
        <v>66</v>
      </c>
      <c r="E36" s="4" t="s">
        <v>126</v>
      </c>
      <c r="F36" s="4"/>
      <c r="G36" s="4"/>
      <c r="H36" s="4" t="s">
        <v>136</v>
      </c>
      <c r="I36" s="4"/>
      <c r="J36" s="4" t="s">
        <v>66</v>
      </c>
      <c r="K36" s="4"/>
      <c r="L36" s="4"/>
      <c r="M36" s="4"/>
    </row>
    <row r="37" ht="15.75" customHeight="1">
      <c r="A37" s="4" t="s">
        <v>62</v>
      </c>
      <c r="B37" s="4" t="s">
        <v>169</v>
      </c>
      <c r="C37" s="4"/>
      <c r="D37" s="4" t="s">
        <v>171</v>
      </c>
      <c r="E37" s="4" t="s">
        <v>108</v>
      </c>
      <c r="F37" s="4"/>
      <c r="G37" s="4"/>
      <c r="H37" s="4" t="s">
        <v>62</v>
      </c>
      <c r="I37" s="4"/>
      <c r="J37" s="4" t="s">
        <v>171</v>
      </c>
      <c r="K37" s="4"/>
      <c r="L37" s="4"/>
      <c r="M37" s="4"/>
    </row>
    <row r="38" ht="15.75" customHeight="1">
      <c r="A38" s="4" t="s">
        <v>69</v>
      </c>
      <c r="B38" s="4" t="s">
        <v>140</v>
      </c>
      <c r="C38" s="4"/>
      <c r="D38" s="4" t="s">
        <v>171</v>
      </c>
      <c r="E38" s="4" t="s">
        <v>160</v>
      </c>
      <c r="F38" s="4"/>
      <c r="G38" s="4"/>
      <c r="H38" s="4" t="s">
        <v>69</v>
      </c>
      <c r="I38" s="4"/>
      <c r="J38" s="4" t="s">
        <v>171</v>
      </c>
      <c r="K38" s="4"/>
      <c r="L38" s="4"/>
      <c r="M38" s="4"/>
    </row>
    <row r="39" ht="15.75" customHeight="1">
      <c r="A39" s="4" t="s">
        <v>80</v>
      </c>
      <c r="B39" s="4" t="s">
        <v>174</v>
      </c>
      <c r="C39" s="4"/>
      <c r="D39" s="4" t="s">
        <v>171</v>
      </c>
      <c r="E39" s="4" t="s">
        <v>175</v>
      </c>
      <c r="F39" s="4"/>
      <c r="G39" s="4"/>
      <c r="H39" s="4" t="s">
        <v>80</v>
      </c>
      <c r="I39" s="4"/>
      <c r="J39" s="4" t="s">
        <v>171</v>
      </c>
      <c r="K39" s="4"/>
      <c r="L39" s="4"/>
      <c r="M39" s="4"/>
    </row>
    <row r="40" ht="15.75" customHeight="1">
      <c r="A40" s="4" t="s">
        <v>179</v>
      </c>
      <c r="B40" s="4"/>
      <c r="C40" s="4"/>
      <c r="D40" s="4" t="s">
        <v>180</v>
      </c>
      <c r="E40" s="4" t="s">
        <v>181</v>
      </c>
      <c r="F40" s="4"/>
      <c r="G40" s="4"/>
      <c r="H40" s="4" t="s">
        <v>179</v>
      </c>
      <c r="I40" s="4"/>
      <c r="J40" s="4" t="s">
        <v>180</v>
      </c>
      <c r="K40" s="4"/>
      <c r="L40" s="4"/>
      <c r="M40" s="4"/>
    </row>
    <row r="41" ht="15.75" customHeight="1">
      <c r="A41" s="4" t="s">
        <v>182</v>
      </c>
      <c r="B41" s="4"/>
      <c r="C41" s="4"/>
      <c r="D41" s="4" t="s">
        <v>183</v>
      </c>
      <c r="E41" s="4" t="s">
        <v>47</v>
      </c>
      <c r="F41" s="4"/>
      <c r="G41" s="4"/>
      <c r="H41" s="4" t="s">
        <v>182</v>
      </c>
      <c r="I41" s="4"/>
      <c r="J41" s="4" t="s">
        <v>183</v>
      </c>
      <c r="K41" s="4"/>
      <c r="L41" s="4"/>
      <c r="M41" s="4"/>
    </row>
    <row r="42" ht="15.75" customHeight="1">
      <c r="A42" s="4" t="s">
        <v>76</v>
      </c>
      <c r="B42" s="4"/>
      <c r="C42" s="4"/>
      <c r="D42" s="4" t="s">
        <v>183</v>
      </c>
      <c r="E42" s="4"/>
      <c r="F42" s="4"/>
      <c r="G42" s="4"/>
      <c r="H42" s="4" t="s">
        <v>76</v>
      </c>
      <c r="I42" s="4"/>
      <c r="J42" s="4" t="s">
        <v>183</v>
      </c>
      <c r="K42" s="4"/>
      <c r="L42" s="4"/>
      <c r="M42" s="4"/>
    </row>
    <row r="43" ht="15.75" customHeight="1">
      <c r="A43" s="4" t="s">
        <v>186</v>
      </c>
      <c r="B43" s="4"/>
      <c r="C43" s="4"/>
      <c r="D43" s="4" t="s">
        <v>183</v>
      </c>
      <c r="E43" s="4"/>
      <c r="F43" s="4"/>
      <c r="G43" s="4"/>
      <c r="H43" s="4" t="s">
        <v>186</v>
      </c>
      <c r="I43" s="4"/>
      <c r="J43" s="4" t="s">
        <v>183</v>
      </c>
      <c r="K43" s="4"/>
      <c r="L43" s="4"/>
      <c r="M43" s="4"/>
    </row>
    <row r="44" ht="15.75" customHeight="1">
      <c r="A44" s="4" t="s">
        <v>190</v>
      </c>
      <c r="B44" s="4"/>
      <c r="C44" s="4"/>
      <c r="D44" s="4" t="s">
        <v>51</v>
      </c>
      <c r="E44" s="4"/>
      <c r="F44" s="4"/>
      <c r="G44" s="4"/>
      <c r="H44" s="4" t="s">
        <v>190</v>
      </c>
      <c r="I44" s="4"/>
      <c r="J44" s="4" t="s">
        <v>51</v>
      </c>
      <c r="K44" s="4"/>
      <c r="L44" s="4"/>
      <c r="M44" s="4"/>
    </row>
    <row r="45" ht="15.75" customHeight="1">
      <c r="A45" s="4" t="s">
        <v>191</v>
      </c>
      <c r="B45" s="4"/>
      <c r="C45" s="4"/>
      <c r="D45" s="4" t="s">
        <v>91</v>
      </c>
      <c r="E45" s="4"/>
      <c r="F45" s="4"/>
      <c r="G45" s="4"/>
      <c r="H45" s="4" t="s">
        <v>191</v>
      </c>
      <c r="I45" s="4"/>
      <c r="J45" s="4" t="s">
        <v>91</v>
      </c>
      <c r="K45" s="4"/>
      <c r="L45" s="4"/>
      <c r="M45" s="4"/>
    </row>
    <row r="46" ht="15.75" customHeight="1">
      <c r="A46" s="4" t="s">
        <v>81</v>
      </c>
      <c r="B46" s="4"/>
      <c r="C46" s="4"/>
      <c r="D46" s="4" t="s">
        <v>195</v>
      </c>
      <c r="E46" s="4"/>
      <c r="F46" s="4"/>
      <c r="G46" s="4"/>
      <c r="H46" s="4" t="s">
        <v>81</v>
      </c>
      <c r="I46" s="4"/>
      <c r="J46" s="4" t="s">
        <v>195</v>
      </c>
      <c r="K46" s="4"/>
      <c r="L46" s="4"/>
      <c r="M46" s="4"/>
    </row>
    <row r="47" ht="15.75" customHeight="1">
      <c r="A47" s="4" t="s">
        <v>196</v>
      </c>
      <c r="B47" s="4"/>
      <c r="C47" s="4"/>
      <c r="D47" s="4" t="s">
        <v>197</v>
      </c>
      <c r="E47" s="4"/>
      <c r="F47" s="4"/>
      <c r="G47" s="4"/>
      <c r="H47" s="4" t="s">
        <v>196</v>
      </c>
      <c r="I47" s="4"/>
      <c r="J47" s="4" t="s">
        <v>197</v>
      </c>
      <c r="K47" s="4"/>
      <c r="L47" s="4"/>
      <c r="M47" s="4"/>
    </row>
    <row r="48" ht="15.75" customHeight="1">
      <c r="A48" s="4" t="s">
        <v>198</v>
      </c>
      <c r="B48" s="4"/>
      <c r="C48" s="4"/>
      <c r="D48" s="4" t="s">
        <v>197</v>
      </c>
      <c r="E48" s="4"/>
      <c r="F48" s="4"/>
      <c r="G48" s="4"/>
      <c r="H48" s="4" t="s">
        <v>198</v>
      </c>
      <c r="I48" s="4"/>
      <c r="J48" s="4" t="s">
        <v>197</v>
      </c>
      <c r="K48" s="4"/>
      <c r="L48" s="4"/>
      <c r="M48" s="4"/>
    </row>
    <row r="49" ht="15.75" customHeight="1">
      <c r="A49" s="4" t="s">
        <v>87</v>
      </c>
      <c r="B49" s="4"/>
      <c r="C49" s="4"/>
      <c r="D49" s="4" t="s">
        <v>202</v>
      </c>
      <c r="E49" s="4"/>
      <c r="F49" s="4"/>
      <c r="G49" s="4"/>
      <c r="H49" s="4" t="s">
        <v>87</v>
      </c>
      <c r="I49" s="4"/>
      <c r="J49" s="4" t="s">
        <v>202</v>
      </c>
      <c r="K49" s="4"/>
      <c r="L49" s="4"/>
      <c r="M49" s="4"/>
    </row>
    <row r="50" ht="15.75" customHeight="1">
      <c r="A50" s="4" t="s">
        <v>203</v>
      </c>
      <c r="B50" s="4"/>
      <c r="C50" s="4"/>
      <c r="D50" s="4" t="s">
        <v>79</v>
      </c>
      <c r="E50" s="4"/>
      <c r="F50" s="4"/>
      <c r="G50" s="4"/>
      <c r="H50" s="4" t="s">
        <v>203</v>
      </c>
      <c r="I50" s="4"/>
      <c r="J50" s="4" t="s">
        <v>79</v>
      </c>
      <c r="K50" s="4"/>
      <c r="L50" s="4"/>
      <c r="M50" s="4"/>
    </row>
    <row r="51" ht="15.75" customHeight="1">
      <c r="A51" s="2" t="s">
        <v>206</v>
      </c>
      <c r="B51" s="4"/>
      <c r="C51" s="4"/>
      <c r="D51" s="4" t="s">
        <v>207</v>
      </c>
      <c r="E51" s="4"/>
      <c r="F51" s="4"/>
      <c r="G51" s="4"/>
      <c r="H51" s="2" t="s">
        <v>206</v>
      </c>
      <c r="I51" s="4"/>
      <c r="J51" s="4" t="s">
        <v>207</v>
      </c>
      <c r="K51" s="4"/>
      <c r="L51" s="4"/>
      <c r="M51" s="4"/>
    </row>
    <row r="52" ht="15.75" customHeight="1">
      <c r="A52" s="4" t="s">
        <v>209</v>
      </c>
      <c r="B52" s="4"/>
      <c r="C52" s="4"/>
      <c r="D52" s="4" t="s">
        <v>207</v>
      </c>
      <c r="E52" s="4"/>
      <c r="F52" s="4"/>
      <c r="G52" s="4"/>
      <c r="H52" s="4" t="s">
        <v>209</v>
      </c>
      <c r="I52" s="4"/>
      <c r="J52" s="4" t="s">
        <v>207</v>
      </c>
      <c r="K52" s="4"/>
      <c r="L52" s="4"/>
      <c r="M52" s="4"/>
    </row>
    <row r="53" ht="15.75" customHeight="1">
      <c r="A53" s="4" t="s">
        <v>94</v>
      </c>
      <c r="B53" s="4"/>
      <c r="C53" s="4"/>
      <c r="D53" s="4" t="s">
        <v>174</v>
      </c>
      <c r="E53" s="4"/>
      <c r="F53" s="4"/>
      <c r="G53" s="4"/>
      <c r="H53" s="4" t="s">
        <v>94</v>
      </c>
      <c r="I53" s="4"/>
      <c r="J53" s="4" t="s">
        <v>174</v>
      </c>
      <c r="K53" s="4"/>
      <c r="L53" s="4"/>
      <c r="M53" s="4"/>
    </row>
    <row r="54" ht="15.75" customHeight="1">
      <c r="A54" s="4" t="s">
        <v>105</v>
      </c>
      <c r="B54" s="4"/>
      <c r="C54" s="4"/>
      <c r="D54" s="4" t="s">
        <v>213</v>
      </c>
      <c r="E54" s="4"/>
      <c r="F54" s="4"/>
      <c r="G54" s="4"/>
      <c r="H54" s="4" t="s">
        <v>105</v>
      </c>
      <c r="I54" s="4"/>
      <c r="J54" s="4" t="s">
        <v>213</v>
      </c>
      <c r="K54" s="4"/>
      <c r="L54" s="4"/>
      <c r="M54" s="4"/>
    </row>
    <row r="55" ht="15.75" customHeight="1">
      <c r="A55" s="4" t="s">
        <v>214</v>
      </c>
      <c r="B55" s="4"/>
      <c r="C55" s="4"/>
      <c r="D55" s="4" t="s">
        <v>215</v>
      </c>
      <c r="E55" s="4"/>
      <c r="F55" s="4"/>
      <c r="G55" s="4"/>
      <c r="H55" s="4" t="s">
        <v>214</v>
      </c>
      <c r="I55" s="4"/>
      <c r="J55" s="4" t="s">
        <v>215</v>
      </c>
      <c r="K55" s="4"/>
      <c r="L55" s="4"/>
      <c r="M55" s="4"/>
    </row>
    <row r="56" ht="15.75" customHeight="1">
      <c r="A56" s="4" t="s">
        <v>96</v>
      </c>
      <c r="B56" s="4"/>
      <c r="C56" s="4"/>
      <c r="D56" s="4" t="s">
        <v>220</v>
      </c>
      <c r="E56" s="4"/>
      <c r="F56" s="4"/>
      <c r="G56" s="4"/>
      <c r="H56" s="4" t="s">
        <v>96</v>
      </c>
      <c r="I56" s="4"/>
      <c r="J56" s="4" t="s">
        <v>220</v>
      </c>
      <c r="K56" s="4"/>
      <c r="L56" s="4"/>
      <c r="M56" s="4"/>
    </row>
    <row r="57" ht="15.75" customHeight="1">
      <c r="A57" s="4" t="s">
        <v>103</v>
      </c>
      <c r="B57" s="4"/>
      <c r="C57" s="4"/>
      <c r="D57" s="4"/>
      <c r="E57" s="4"/>
      <c r="F57" s="4"/>
      <c r="G57" s="4"/>
      <c r="H57" s="4" t="s">
        <v>103</v>
      </c>
      <c r="I57" s="4"/>
      <c r="J57" s="4" t="s">
        <v>15</v>
      </c>
      <c r="K57" s="4"/>
      <c r="L57" s="4"/>
      <c r="M57" s="4"/>
    </row>
    <row r="58" ht="15.75" customHeight="1">
      <c r="A58" s="4" t="s">
        <v>221</v>
      </c>
      <c r="B58" s="4"/>
      <c r="C58" s="4"/>
      <c r="D58" s="4"/>
      <c r="E58" s="4"/>
      <c r="F58" s="4"/>
      <c r="G58" s="4"/>
      <c r="H58" s="4" t="s">
        <v>221</v>
      </c>
      <c r="I58" s="4"/>
      <c r="J58" s="4" t="s">
        <v>23</v>
      </c>
      <c r="K58" s="4"/>
      <c r="L58" s="4"/>
      <c r="M58" s="4"/>
    </row>
    <row r="59" ht="15.75" customHeight="1">
      <c r="A59" s="4" t="s">
        <v>106</v>
      </c>
      <c r="B59" s="4"/>
      <c r="C59" s="4"/>
      <c r="D59" s="4"/>
      <c r="E59" s="4"/>
      <c r="F59" s="4"/>
      <c r="G59" s="4"/>
      <c r="H59" s="4" t="s">
        <v>106</v>
      </c>
      <c r="I59" s="4"/>
      <c r="J59" s="4" t="s">
        <v>27</v>
      </c>
      <c r="K59" s="4"/>
      <c r="L59" s="4"/>
      <c r="M59" s="4"/>
    </row>
    <row r="60" ht="15.75" customHeight="1">
      <c r="A60" s="4" t="s">
        <v>115</v>
      </c>
      <c r="B60" s="4"/>
      <c r="C60" s="4"/>
      <c r="D60" s="4"/>
      <c r="E60" s="4"/>
      <c r="F60" s="4"/>
      <c r="G60" s="4"/>
      <c r="H60" s="4" t="s">
        <v>115</v>
      </c>
      <c r="I60" s="4"/>
      <c r="J60" s="4" t="s">
        <v>32</v>
      </c>
      <c r="K60" s="4"/>
      <c r="L60" s="4"/>
      <c r="M60" s="4"/>
    </row>
    <row r="61" ht="15.75" customHeight="1">
      <c r="A61" s="4" t="s">
        <v>226</v>
      </c>
      <c r="B61" s="4"/>
      <c r="C61" s="4"/>
      <c r="D61" s="4"/>
      <c r="E61" s="4"/>
      <c r="F61" s="4"/>
      <c r="G61" s="4"/>
      <c r="H61" s="4" t="s">
        <v>226</v>
      </c>
      <c r="I61" s="4"/>
      <c r="J61" s="4" t="s">
        <v>38</v>
      </c>
      <c r="K61" s="4"/>
      <c r="L61" s="4"/>
      <c r="M61" s="4"/>
    </row>
    <row r="62" ht="15.75" customHeight="1">
      <c r="A62" s="4" t="s">
        <v>118</v>
      </c>
      <c r="B62" s="4"/>
      <c r="C62" s="4"/>
      <c r="D62" s="4"/>
      <c r="E62" s="4"/>
      <c r="F62" s="4"/>
      <c r="G62" s="4"/>
      <c r="H62" s="4" t="s">
        <v>118</v>
      </c>
      <c r="I62" s="4"/>
      <c r="J62" s="4" t="s">
        <v>41</v>
      </c>
      <c r="K62" s="4"/>
      <c r="L62" s="4"/>
      <c r="M62" s="4"/>
    </row>
    <row r="63" ht="15.75" customHeight="1">
      <c r="A63" s="4" t="s">
        <v>68</v>
      </c>
      <c r="B63" s="4"/>
      <c r="C63" s="4"/>
      <c r="D63" s="4"/>
      <c r="E63" s="4"/>
      <c r="F63" s="4"/>
      <c r="G63" s="4"/>
      <c r="H63" s="4" t="s">
        <v>68</v>
      </c>
      <c r="I63" s="4"/>
      <c r="J63" s="4" t="s">
        <v>49</v>
      </c>
      <c r="K63" s="4"/>
      <c r="L63" s="4"/>
      <c r="M63" s="4"/>
    </row>
    <row r="64" ht="15.75" customHeight="1">
      <c r="A64" s="2" t="s">
        <v>230</v>
      </c>
      <c r="B64" s="4"/>
      <c r="C64" s="4"/>
      <c r="D64" s="4"/>
      <c r="E64" s="4"/>
      <c r="F64" s="4"/>
      <c r="G64" s="4"/>
      <c r="H64" s="2" t="s">
        <v>230</v>
      </c>
      <c r="I64" s="4"/>
      <c r="J64" s="4" t="s">
        <v>53</v>
      </c>
      <c r="K64" s="4"/>
      <c r="L64" s="4"/>
      <c r="M64" s="4"/>
    </row>
    <row r="65" ht="15.75" customHeight="1">
      <c r="A65" s="4" t="s">
        <v>116</v>
      </c>
      <c r="B65" s="4"/>
      <c r="C65" s="4"/>
      <c r="D65" s="4"/>
      <c r="E65" s="4"/>
      <c r="F65" s="4"/>
      <c r="G65" s="4"/>
      <c r="H65" s="4" t="s">
        <v>116</v>
      </c>
      <c r="I65" s="4"/>
      <c r="J65" s="4" t="s">
        <v>59</v>
      </c>
      <c r="K65" s="4"/>
      <c r="L65" s="4"/>
      <c r="M65" s="4"/>
    </row>
    <row r="66" ht="15.75" customHeight="1">
      <c r="A66" s="4" t="s">
        <v>48</v>
      </c>
      <c r="B66" s="4"/>
      <c r="C66" s="4"/>
      <c r="D66" s="4"/>
      <c r="E66" s="4"/>
      <c r="F66" s="4"/>
      <c r="G66" s="4"/>
      <c r="H66" s="4" t="s">
        <v>48</v>
      </c>
      <c r="I66" s="4"/>
      <c r="J66" s="4" t="s">
        <v>62</v>
      </c>
      <c r="K66" s="4"/>
      <c r="L66" s="4"/>
      <c r="M66" s="4"/>
    </row>
    <row r="67" ht="15.75" customHeight="1">
      <c r="A67" s="4" t="s">
        <v>234</v>
      </c>
      <c r="B67" s="4"/>
      <c r="C67" s="4"/>
      <c r="D67" s="4"/>
      <c r="E67" s="4"/>
      <c r="F67" s="4"/>
      <c r="G67" s="4"/>
      <c r="H67" s="4" t="s">
        <v>234</v>
      </c>
      <c r="I67" s="4"/>
      <c r="J67" s="4" t="s">
        <v>69</v>
      </c>
      <c r="K67" s="4"/>
      <c r="L67" s="4"/>
      <c r="M67" s="4"/>
    </row>
    <row r="68" ht="15.75" customHeight="1">
      <c r="A68" s="4" t="s">
        <v>237</v>
      </c>
      <c r="B68" s="4"/>
      <c r="C68" s="4"/>
      <c r="D68" s="4"/>
      <c r="E68" s="4"/>
      <c r="F68" s="4"/>
      <c r="G68" s="4"/>
      <c r="H68" s="4" t="s">
        <v>237</v>
      </c>
      <c r="I68" s="4"/>
      <c r="J68" s="4" t="s">
        <v>76</v>
      </c>
      <c r="K68" s="4"/>
      <c r="L68" s="4"/>
      <c r="M68" s="4"/>
    </row>
    <row r="69" ht="15.75" customHeight="1">
      <c r="A69" s="4" t="s">
        <v>238</v>
      </c>
      <c r="B69" s="4"/>
      <c r="C69" s="4"/>
      <c r="D69" s="4"/>
      <c r="E69" s="4"/>
      <c r="F69" s="4"/>
      <c r="G69" s="4"/>
      <c r="H69" s="4" t="s">
        <v>238</v>
      </c>
      <c r="I69" s="4"/>
      <c r="J69" s="4" t="s">
        <v>81</v>
      </c>
      <c r="K69" s="4"/>
      <c r="L69" s="4"/>
      <c r="M69" s="4"/>
    </row>
    <row r="70" ht="15.75" customHeight="1">
      <c r="A70" s="4" t="s">
        <v>239</v>
      </c>
      <c r="B70" s="4"/>
      <c r="C70" s="4"/>
      <c r="D70" s="4"/>
      <c r="E70" s="4"/>
      <c r="F70" s="4"/>
      <c r="G70" s="4"/>
      <c r="H70" s="4" t="s">
        <v>239</v>
      </c>
      <c r="I70" s="4"/>
      <c r="J70" s="4" t="s">
        <v>84</v>
      </c>
      <c r="K70" s="4"/>
      <c r="L70" s="4"/>
      <c r="M70" s="4"/>
    </row>
    <row r="71" ht="15.75" customHeight="1">
      <c r="A71" s="4" t="s">
        <v>242</v>
      </c>
      <c r="B71" s="4"/>
      <c r="C71" s="4"/>
      <c r="D71" s="4"/>
      <c r="E71" s="4"/>
      <c r="F71" s="4"/>
      <c r="G71" s="4"/>
      <c r="H71" s="4" t="s">
        <v>242</v>
      </c>
      <c r="I71" s="4"/>
      <c r="J71" s="4" t="s">
        <v>87</v>
      </c>
      <c r="K71" s="4"/>
      <c r="L71" s="4"/>
      <c r="M71" s="4"/>
    </row>
    <row r="72" ht="15.75" customHeight="1">
      <c r="A72" s="4" t="s">
        <v>207</v>
      </c>
      <c r="B72" s="4"/>
      <c r="C72" s="4"/>
      <c r="D72" s="4"/>
      <c r="E72" s="4"/>
      <c r="F72" s="4"/>
      <c r="G72" s="4"/>
      <c r="H72" s="4" t="s">
        <v>207</v>
      </c>
      <c r="I72" s="4"/>
      <c r="J72" s="4" t="s">
        <v>94</v>
      </c>
      <c r="K72" s="4"/>
      <c r="L72" s="4"/>
      <c r="M72" s="4"/>
    </row>
    <row r="73" ht="15.75" customHeight="1">
      <c r="A73" s="4" t="s">
        <v>124</v>
      </c>
      <c r="B73" s="4"/>
      <c r="C73" s="4"/>
      <c r="D73" s="4"/>
      <c r="E73" s="4"/>
      <c r="F73" s="4"/>
      <c r="G73" s="4"/>
      <c r="H73" s="4" t="s">
        <v>124</v>
      </c>
      <c r="I73" s="4"/>
      <c r="J73" s="4" t="s">
        <v>96</v>
      </c>
      <c r="K73" s="4"/>
      <c r="L73" s="4"/>
      <c r="M73" s="4"/>
    </row>
    <row r="74" ht="15.75" customHeight="1">
      <c r="A74" s="4" t="s">
        <v>183</v>
      </c>
      <c r="B74" s="4"/>
      <c r="C74" s="4"/>
      <c r="D74" s="4"/>
      <c r="E74" s="4"/>
      <c r="F74" s="4"/>
      <c r="G74" s="4"/>
      <c r="H74" s="4" t="s">
        <v>183</v>
      </c>
      <c r="I74" s="4"/>
      <c r="J74" s="4" t="s">
        <v>103</v>
      </c>
      <c r="K74" s="4"/>
      <c r="L74" s="4"/>
      <c r="M74" s="4"/>
    </row>
    <row r="75" ht="15.75" customHeight="1">
      <c r="A75" s="4" t="s">
        <v>247</v>
      </c>
      <c r="B75" s="4"/>
      <c r="C75" s="4"/>
      <c r="D75" s="4"/>
      <c r="E75" s="4"/>
      <c r="F75" s="4"/>
      <c r="G75" s="4"/>
      <c r="H75" s="4" t="s">
        <v>247</v>
      </c>
      <c r="I75" s="4"/>
      <c r="J75" s="4" t="s">
        <v>106</v>
      </c>
      <c r="K75" s="4"/>
      <c r="L75" s="4"/>
      <c r="M75" s="4"/>
    </row>
    <row r="76" ht="15.75" customHeight="1">
      <c r="A76" s="4" t="s">
        <v>127</v>
      </c>
      <c r="B76" s="4"/>
      <c r="C76" s="4"/>
      <c r="D76" s="4"/>
      <c r="E76" s="4"/>
      <c r="F76" s="4"/>
      <c r="G76" s="4"/>
      <c r="H76" s="4" t="s">
        <v>127</v>
      </c>
      <c r="I76" s="4"/>
      <c r="J76" s="4" t="s">
        <v>110</v>
      </c>
      <c r="K76" s="4"/>
      <c r="L76" s="4"/>
      <c r="M76" s="4"/>
    </row>
    <row r="77" ht="15.75" customHeight="1">
      <c r="A77" s="4" t="s">
        <v>251</v>
      </c>
      <c r="B77" s="4"/>
      <c r="C77" s="4"/>
      <c r="D77" s="4"/>
      <c r="E77" s="4"/>
      <c r="F77" s="4"/>
      <c r="G77" s="4"/>
      <c r="H77" s="4" t="s">
        <v>251</v>
      </c>
      <c r="I77" s="4"/>
      <c r="J77" s="4" t="s">
        <v>116</v>
      </c>
      <c r="K77" s="4"/>
      <c r="L77" s="4"/>
      <c r="M77" s="4"/>
    </row>
    <row r="78" ht="15.75" customHeight="1">
      <c r="A78" s="4" t="s">
        <v>254</v>
      </c>
      <c r="B78" s="4"/>
      <c r="C78" s="4"/>
      <c r="D78" s="4"/>
      <c r="E78" s="4"/>
      <c r="F78" s="4"/>
      <c r="G78" s="4"/>
      <c r="H78" s="4" t="s">
        <v>254</v>
      </c>
      <c r="I78" s="4"/>
      <c r="J78" s="4" t="s">
        <v>118</v>
      </c>
      <c r="K78" s="4"/>
      <c r="L78" s="4"/>
      <c r="M78" s="4"/>
    </row>
    <row r="79" ht="15.75" customHeight="1">
      <c r="A79" s="4" t="s">
        <v>256</v>
      </c>
      <c r="B79" s="4"/>
      <c r="C79" s="4"/>
      <c r="D79" s="4"/>
      <c r="E79" s="4"/>
      <c r="F79" s="4"/>
      <c r="G79" s="4"/>
      <c r="H79" s="4" t="s">
        <v>256</v>
      </c>
      <c r="I79" s="4"/>
      <c r="J79" s="4" t="s">
        <v>124</v>
      </c>
      <c r="K79" s="4"/>
      <c r="L79" s="4"/>
      <c r="M79" s="4"/>
    </row>
    <row r="80" ht="15.75" customHeight="1">
      <c r="A80" s="4" t="s">
        <v>145</v>
      </c>
      <c r="B80" s="4"/>
      <c r="C80" s="4"/>
      <c r="D80" s="4"/>
      <c r="E80" s="4"/>
      <c r="F80" s="4"/>
      <c r="G80" s="4"/>
      <c r="H80" s="4" t="s">
        <v>145</v>
      </c>
      <c r="I80" s="4"/>
      <c r="J80" s="4" t="s">
        <v>127</v>
      </c>
      <c r="K80" s="4"/>
      <c r="L80" s="4"/>
      <c r="M80" s="4"/>
    </row>
    <row r="81" ht="15.75" customHeight="1">
      <c r="A81" s="4" t="s">
        <v>260</v>
      </c>
      <c r="B81" s="4"/>
      <c r="C81" s="4"/>
      <c r="D81" s="4"/>
      <c r="E81" s="4"/>
      <c r="F81" s="4"/>
      <c r="G81" s="4"/>
      <c r="H81" s="4" t="s">
        <v>260</v>
      </c>
      <c r="I81" s="4"/>
      <c r="J81" s="4" t="s">
        <v>133</v>
      </c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 t="s">
        <v>12</v>
      </c>
      <c r="I82" s="4"/>
      <c r="J82" s="4" t="s">
        <v>138</v>
      </c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 t="s">
        <v>21</v>
      </c>
      <c r="I83" s="4"/>
      <c r="J83" s="4" t="s">
        <v>141</v>
      </c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 t="s">
        <v>25</v>
      </c>
      <c r="I84" s="4"/>
      <c r="J84" s="4" t="s">
        <v>145</v>
      </c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 t="s">
        <v>29</v>
      </c>
      <c r="I85" s="4"/>
      <c r="J85" s="4" t="s">
        <v>83</v>
      </c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 t="s">
        <v>36</v>
      </c>
      <c r="I86" s="4"/>
      <c r="J86" s="4" t="s">
        <v>154</v>
      </c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 t="s">
        <v>39</v>
      </c>
      <c r="I87" s="4"/>
      <c r="J87" s="4" t="s">
        <v>79</v>
      </c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 t="s">
        <v>47</v>
      </c>
      <c r="I88" s="4"/>
      <c r="J88" s="4" t="s">
        <v>140</v>
      </c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 t="s">
        <v>51</v>
      </c>
      <c r="I89" s="4"/>
      <c r="J89" s="4" t="s">
        <v>161</v>
      </c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 t="s">
        <v>58</v>
      </c>
      <c r="I90" s="4"/>
      <c r="J90" s="4" t="s">
        <v>51</v>
      </c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 t="s">
        <v>60</v>
      </c>
      <c r="I91" s="4"/>
      <c r="J91" s="4" t="s">
        <v>126</v>
      </c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 t="s">
        <v>66</v>
      </c>
      <c r="I92" s="4"/>
      <c r="J92" s="4" t="s">
        <v>108</v>
      </c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 t="s">
        <v>73</v>
      </c>
      <c r="I93" s="4"/>
      <c r="J93" s="4" t="s">
        <v>160</v>
      </c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 t="s">
        <v>79</v>
      </c>
      <c r="I94" s="4"/>
      <c r="J94" s="4" t="s">
        <v>175</v>
      </c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 t="s">
        <v>83</v>
      </c>
      <c r="I95" s="4"/>
      <c r="J95" s="4" t="s">
        <v>181</v>
      </c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 t="s">
        <v>85</v>
      </c>
      <c r="I96" s="4"/>
      <c r="J96" s="4" t="s">
        <v>47</v>
      </c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 t="s">
        <v>91</v>
      </c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 t="s">
        <v>95</v>
      </c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 t="s">
        <v>101</v>
      </c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 t="s">
        <v>84</v>
      </c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 t="s">
        <v>108</v>
      </c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 t="s">
        <v>114</v>
      </c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 t="s">
        <v>117</v>
      </c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 t="s">
        <v>123</v>
      </c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 t="s">
        <v>126</v>
      </c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 t="s">
        <v>130</v>
      </c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 t="s">
        <v>135</v>
      </c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 t="s">
        <v>139</v>
      </c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 t="s">
        <v>143</v>
      </c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 t="s">
        <v>150</v>
      </c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 t="s">
        <v>153</v>
      </c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 t="s">
        <v>157</v>
      </c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 t="s">
        <v>159</v>
      </c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 t="s">
        <v>160</v>
      </c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 t="s">
        <v>166</v>
      </c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 t="s">
        <v>168</v>
      </c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 t="s">
        <v>169</v>
      </c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 t="s">
        <v>140</v>
      </c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 t="s">
        <v>174</v>
      </c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M320" s="4"/>
    </row>
    <row r="321" ht="15.75" customHeight="1">
      <c r="M321" s="4"/>
    </row>
    <row r="322" ht="15.75" customHeight="1">
      <c r="M322" s="4"/>
    </row>
    <row r="323" ht="15.75" customHeight="1">
      <c r="M323" s="4"/>
    </row>
    <row r="324" ht="15.75" customHeight="1">
      <c r="M324" s="4"/>
    </row>
    <row r="325" ht="15.75" customHeight="1">
      <c r="M325" s="4"/>
    </row>
    <row r="326" ht="15.75" customHeight="1">
      <c r="M326" s="4"/>
    </row>
    <row r="327" ht="15.75" customHeight="1">
      <c r="M327" s="4"/>
    </row>
    <row r="328" ht="15.75" customHeight="1">
      <c r="M328" s="4"/>
    </row>
    <row r="329" ht="15.75" customHeight="1">
      <c r="M329" s="4"/>
    </row>
    <row r="330" ht="15.75" customHeight="1">
      <c r="M330" s="4"/>
    </row>
    <row r="331" ht="15.75" customHeight="1">
      <c r="M331" s="4"/>
    </row>
    <row r="332" ht="15.75" customHeight="1">
      <c r="M332" s="4"/>
    </row>
    <row r="333" ht="15.75" customHeight="1">
      <c r="M333" s="4"/>
    </row>
    <row r="334" ht="15.75" customHeight="1">
      <c r="M334" s="4"/>
    </row>
    <row r="335" ht="15.75" customHeight="1">
      <c r="M335" s="4"/>
    </row>
    <row r="336" ht="15.75" customHeight="1">
      <c r="M336" s="4"/>
    </row>
    <row r="337" ht="15.75" customHeight="1">
      <c r="M337" s="4"/>
    </row>
    <row r="338" ht="15.75" customHeight="1">
      <c r="M338" s="4"/>
    </row>
    <row r="339" ht="15.75" customHeight="1">
      <c r="M339" s="4"/>
    </row>
    <row r="340" ht="15.75" customHeight="1">
      <c r="M340" s="4"/>
    </row>
    <row r="341" ht="15.75" customHeight="1">
      <c r="M341" s="4"/>
    </row>
    <row r="342" ht="15.75" customHeight="1">
      <c r="M342" s="4"/>
    </row>
    <row r="343" ht="15.75" customHeight="1">
      <c r="M343" s="4"/>
    </row>
    <row r="344" ht="15.75" customHeight="1">
      <c r="M344" s="4"/>
    </row>
    <row r="345" ht="15.75" customHeight="1">
      <c r="M345" s="4"/>
    </row>
    <row r="346" ht="15.75" customHeight="1">
      <c r="M346" s="4"/>
    </row>
    <row r="347" ht="15.75" customHeight="1">
      <c r="M347" s="4"/>
    </row>
    <row r="348" ht="15.75" customHeight="1">
      <c r="M348" s="4"/>
    </row>
    <row r="349" ht="15.75" customHeight="1">
      <c r="M349" s="4"/>
    </row>
    <row r="350" ht="15.75" customHeight="1">
      <c r="M350" s="4"/>
    </row>
    <row r="351" ht="15.75" customHeight="1">
      <c r="M351" s="4"/>
    </row>
    <row r="352" ht="15.75" customHeight="1">
      <c r="M352" s="4"/>
    </row>
    <row r="353" ht="15.75" customHeight="1">
      <c r="M353" s="4"/>
    </row>
    <row r="354" ht="15.75" customHeight="1">
      <c r="M354" s="4"/>
    </row>
    <row r="355" ht="15.75" customHeight="1">
      <c r="M355" s="4"/>
    </row>
    <row r="356" ht="15.75" customHeight="1">
      <c r="M356" s="4"/>
    </row>
    <row r="357" ht="15.75" customHeight="1">
      <c r="M357" s="4"/>
    </row>
    <row r="358" ht="15.75" customHeight="1">
      <c r="M358" s="4"/>
    </row>
    <row r="359" ht="15.75" customHeight="1">
      <c r="M359" s="4"/>
    </row>
    <row r="360" ht="15.75" customHeight="1">
      <c r="M360" s="4"/>
    </row>
    <row r="361" ht="15.75" customHeight="1">
      <c r="M361" s="4"/>
    </row>
    <row r="362" ht="15.75" customHeight="1">
      <c r="M362" s="4"/>
    </row>
    <row r="363" ht="15.75" customHeight="1">
      <c r="M363" s="4"/>
    </row>
    <row r="364" ht="15.75" customHeight="1">
      <c r="M364" s="4"/>
    </row>
    <row r="365" ht="15.75" customHeight="1">
      <c r="M365" s="4"/>
    </row>
    <row r="366" ht="15.75" customHeight="1">
      <c r="M366" s="4"/>
    </row>
    <row r="367" ht="15.75" customHeight="1">
      <c r="M367" s="4"/>
    </row>
    <row r="368" ht="15.75" customHeight="1">
      <c r="M368" s="4"/>
    </row>
    <row r="369" ht="15.75" customHeight="1">
      <c r="M369" s="4"/>
    </row>
    <row r="370" ht="15.75" customHeight="1">
      <c r="M370" s="4"/>
    </row>
    <row r="371" ht="15.75" customHeight="1">
      <c r="M371" s="4"/>
    </row>
    <row r="372" ht="15.75" customHeight="1">
      <c r="M372" s="4"/>
    </row>
    <row r="373" ht="15.75" customHeight="1">
      <c r="M373" s="4"/>
    </row>
    <row r="374" ht="15.75" customHeight="1">
      <c r="M374" s="4"/>
    </row>
    <row r="375" ht="15.75" customHeight="1">
      <c r="M375" s="4"/>
    </row>
    <row r="376" ht="15.75" customHeight="1">
      <c r="M376" s="4"/>
    </row>
    <row r="377" ht="15.75" customHeight="1">
      <c r="M377" s="4"/>
    </row>
    <row r="378" ht="15.75" customHeight="1">
      <c r="M378" s="4"/>
    </row>
    <row r="379" ht="15.75" customHeight="1">
      <c r="M379" s="4"/>
    </row>
    <row r="380" ht="15.75" customHeight="1">
      <c r="M380" s="4"/>
    </row>
    <row r="381" ht="15.75" customHeight="1">
      <c r="M381" s="4"/>
    </row>
    <row r="382" ht="15.75" customHeight="1">
      <c r="M382" s="4"/>
    </row>
    <row r="383" ht="15.75" customHeight="1">
      <c r="M383" s="4"/>
    </row>
    <row r="384" ht="15.75" customHeight="1">
      <c r="M384" s="4"/>
    </row>
    <row r="385" ht="15.75" customHeight="1">
      <c r="M385" s="4"/>
    </row>
    <row r="386" ht="15.75" customHeight="1">
      <c r="M386" s="4"/>
    </row>
    <row r="387" ht="15.75" customHeight="1">
      <c r="M387" s="4"/>
    </row>
    <row r="388" ht="15.75" customHeight="1">
      <c r="M388" s="4"/>
    </row>
    <row r="389" ht="15.75" customHeight="1">
      <c r="M389" s="4"/>
    </row>
    <row r="390" ht="15.75" customHeight="1">
      <c r="M390" s="4"/>
    </row>
    <row r="391" ht="15.75" customHeight="1">
      <c r="M391" s="4"/>
    </row>
    <row r="392" ht="15.75" customHeight="1">
      <c r="M392" s="4"/>
    </row>
    <row r="393" ht="15.75" customHeight="1">
      <c r="M393" s="4"/>
    </row>
    <row r="394" ht="15.75" customHeight="1">
      <c r="M394" s="4"/>
    </row>
    <row r="395" ht="15.75" customHeight="1">
      <c r="M395" s="4"/>
    </row>
    <row r="396" ht="15.75" customHeight="1">
      <c r="M396" s="4"/>
    </row>
    <row r="397" ht="15.75" customHeight="1">
      <c r="M397" s="4"/>
    </row>
    <row r="398" ht="15.75" customHeight="1">
      <c r="M398" s="4"/>
    </row>
    <row r="399" ht="15.75" customHeight="1">
      <c r="M399" s="4"/>
    </row>
    <row r="400" ht="15.75" customHeight="1">
      <c r="M400" s="4"/>
    </row>
    <row r="401" ht="15.75" customHeight="1">
      <c r="M401" s="4"/>
    </row>
    <row r="402" ht="15.75" customHeight="1">
      <c r="M402" s="4"/>
    </row>
    <row r="403" ht="15.75" customHeight="1">
      <c r="M403" s="4"/>
    </row>
    <row r="404" ht="15.75" customHeight="1">
      <c r="M404" s="4"/>
    </row>
    <row r="405" ht="15.75" customHeight="1">
      <c r="M405" s="4"/>
    </row>
    <row r="406" ht="15.75" customHeight="1">
      <c r="M406" s="4"/>
    </row>
    <row r="407" ht="15.75" customHeight="1">
      <c r="M407" s="4"/>
    </row>
    <row r="408" ht="15.75" customHeight="1">
      <c r="M408" s="4"/>
    </row>
    <row r="409" ht="15.75" customHeight="1">
      <c r="M409" s="4"/>
    </row>
    <row r="410" ht="15.75" customHeight="1">
      <c r="M410" s="4"/>
    </row>
    <row r="411" ht="15.75" customHeight="1">
      <c r="M411" s="4"/>
    </row>
    <row r="412" ht="15.75" customHeight="1">
      <c r="M412" s="4"/>
    </row>
    <row r="413" ht="15.75" customHeight="1">
      <c r="M413" s="4"/>
    </row>
    <row r="414" ht="15.75" customHeight="1">
      <c r="M414" s="4"/>
    </row>
    <row r="415" ht="15.75" customHeight="1">
      <c r="M415" s="4"/>
    </row>
    <row r="416" ht="15.75" customHeight="1">
      <c r="M416" s="4"/>
    </row>
    <row r="417" ht="15.75" customHeight="1">
      <c r="M417" s="4"/>
    </row>
    <row r="418" ht="15.75" customHeight="1">
      <c r="M418" s="4"/>
    </row>
    <row r="419" ht="15.75" customHeight="1">
      <c r="M419" s="4"/>
    </row>
    <row r="420" ht="15.75" customHeight="1">
      <c r="M420" s="4"/>
    </row>
    <row r="421" ht="15.75" customHeight="1">
      <c r="M421" s="4"/>
    </row>
    <row r="422" ht="15.75" customHeight="1">
      <c r="M422" s="4"/>
    </row>
    <row r="423" ht="15.75" customHeight="1">
      <c r="M423" s="4"/>
    </row>
    <row r="424" ht="15.75" customHeight="1">
      <c r="M424" s="4"/>
    </row>
    <row r="425" ht="15.75" customHeight="1">
      <c r="M425" s="4"/>
    </row>
    <row r="426" ht="15.75" customHeight="1">
      <c r="M426" s="4"/>
    </row>
    <row r="427" ht="15.75" customHeight="1">
      <c r="M427" s="4"/>
    </row>
    <row r="428" ht="15.75" customHeight="1">
      <c r="M428" s="4"/>
    </row>
    <row r="429" ht="15.75" customHeight="1">
      <c r="M429" s="4"/>
    </row>
    <row r="430" ht="15.75" customHeight="1">
      <c r="M430" s="4"/>
    </row>
    <row r="431" ht="15.75" customHeight="1">
      <c r="M431" s="4"/>
    </row>
    <row r="432" ht="15.75" customHeight="1">
      <c r="M432" s="4"/>
    </row>
    <row r="433" ht="15.75" customHeight="1">
      <c r="M433" s="4"/>
    </row>
    <row r="434" ht="15.75" customHeight="1">
      <c r="M434" s="4"/>
    </row>
    <row r="435" ht="15.75" customHeight="1">
      <c r="M435" s="4"/>
    </row>
    <row r="436" ht="15.75" customHeight="1">
      <c r="M436" s="4"/>
    </row>
    <row r="437" ht="15.75" customHeight="1">
      <c r="M437" s="4"/>
    </row>
    <row r="438" ht="15.75" customHeight="1">
      <c r="M438" s="4"/>
    </row>
    <row r="439" ht="15.75" customHeight="1">
      <c r="M439" s="4"/>
    </row>
    <row r="440" ht="15.75" customHeight="1">
      <c r="M440" s="4"/>
    </row>
    <row r="441" ht="15.75" customHeight="1">
      <c r="M441" s="4"/>
    </row>
    <row r="442" ht="15.75" customHeight="1">
      <c r="M442" s="4"/>
    </row>
    <row r="443" ht="15.75" customHeight="1">
      <c r="M443" s="4"/>
    </row>
    <row r="444" ht="15.75" customHeight="1">
      <c r="M444" s="4"/>
    </row>
    <row r="445" ht="15.75" customHeight="1">
      <c r="M445" s="4"/>
    </row>
    <row r="446" ht="15.75" customHeight="1">
      <c r="M446" s="4"/>
    </row>
    <row r="447" ht="15.75" customHeight="1">
      <c r="M447" s="4"/>
    </row>
    <row r="448" ht="15.75" customHeight="1">
      <c r="M448" s="4"/>
    </row>
    <row r="449" ht="15.75" customHeight="1">
      <c r="M449" s="4"/>
    </row>
    <row r="450" ht="15.75" customHeight="1">
      <c r="M450" s="4"/>
    </row>
    <row r="451" ht="15.75" customHeight="1">
      <c r="M451" s="4"/>
    </row>
    <row r="452" ht="15.75" customHeight="1">
      <c r="M452" s="4"/>
    </row>
    <row r="453" ht="15.75" customHeight="1">
      <c r="M453" s="4"/>
    </row>
    <row r="454" ht="15.75" customHeight="1">
      <c r="M454" s="4"/>
    </row>
    <row r="455" ht="15.75" customHeight="1">
      <c r="M455" s="4"/>
    </row>
    <row r="456" ht="15.75" customHeight="1">
      <c r="M456" s="4"/>
    </row>
    <row r="457" ht="15.75" customHeight="1">
      <c r="M457" s="4"/>
    </row>
    <row r="458" ht="15.75" customHeight="1">
      <c r="M458" s="4"/>
    </row>
    <row r="459" ht="15.75" customHeight="1">
      <c r="M459" s="4"/>
    </row>
    <row r="460" ht="15.75" customHeight="1">
      <c r="M460" s="4"/>
    </row>
    <row r="461" ht="15.75" customHeight="1">
      <c r="M461" s="4"/>
    </row>
    <row r="462" ht="15.75" customHeight="1">
      <c r="M462" s="4"/>
    </row>
    <row r="463" ht="15.75" customHeight="1">
      <c r="M463" s="4"/>
    </row>
    <row r="464" ht="15.75" customHeight="1">
      <c r="M464" s="4"/>
    </row>
    <row r="465" ht="15.75" customHeight="1">
      <c r="M465" s="4"/>
    </row>
    <row r="466" ht="15.75" customHeight="1">
      <c r="M466" s="4"/>
    </row>
    <row r="467" ht="15.75" customHeight="1">
      <c r="M467" s="4"/>
    </row>
    <row r="468" ht="15.75" customHeight="1">
      <c r="M468" s="4"/>
    </row>
    <row r="469" ht="15.75" customHeight="1">
      <c r="M469" s="4"/>
    </row>
    <row r="470" ht="15.75" customHeight="1">
      <c r="M470" s="4"/>
    </row>
    <row r="471" ht="15.75" customHeight="1">
      <c r="M471" s="4"/>
    </row>
    <row r="472" ht="15.75" customHeight="1">
      <c r="M472" s="4"/>
    </row>
    <row r="473" ht="15.75" customHeight="1">
      <c r="M473" s="4"/>
    </row>
    <row r="474" ht="15.75" customHeight="1">
      <c r="M474" s="4"/>
    </row>
    <row r="475" ht="15.75" customHeight="1">
      <c r="M475" s="4"/>
    </row>
    <row r="476" ht="15.75" customHeight="1">
      <c r="M476" s="4"/>
    </row>
    <row r="477" ht="15.75" customHeight="1">
      <c r="M477" s="4"/>
    </row>
    <row r="478" ht="15.75" customHeight="1">
      <c r="M478" s="4"/>
    </row>
    <row r="479" ht="15.75" customHeight="1">
      <c r="M479" s="4"/>
    </row>
    <row r="480" ht="15.75" customHeight="1">
      <c r="M480" s="4"/>
    </row>
    <row r="481" ht="15.75" customHeight="1">
      <c r="M481" s="4"/>
    </row>
    <row r="482" ht="15.75" customHeight="1">
      <c r="M482" s="4"/>
    </row>
    <row r="483" ht="15.75" customHeight="1">
      <c r="M483" s="4"/>
    </row>
    <row r="484" ht="15.75" customHeight="1">
      <c r="M484" s="4"/>
    </row>
    <row r="485" ht="15.75" customHeight="1">
      <c r="M485" s="4"/>
    </row>
    <row r="486" ht="15.75" customHeight="1">
      <c r="M486" s="4"/>
    </row>
    <row r="487" ht="15.75" customHeight="1">
      <c r="M487" s="4"/>
    </row>
    <row r="488" ht="15.75" customHeight="1">
      <c r="M488" s="4"/>
    </row>
    <row r="489" ht="15.75" customHeight="1">
      <c r="M489" s="4"/>
    </row>
    <row r="490" ht="15.75" customHeight="1">
      <c r="M490" s="4"/>
    </row>
    <row r="491" ht="15.75" customHeight="1">
      <c r="M491" s="4"/>
    </row>
    <row r="492" ht="15.75" customHeight="1">
      <c r="M492" s="4"/>
    </row>
    <row r="493" ht="15.75" customHeight="1">
      <c r="M493" s="4"/>
    </row>
    <row r="494" ht="15.75" customHeight="1">
      <c r="M494" s="4"/>
    </row>
    <row r="495" ht="15.75" customHeight="1">
      <c r="M495" s="4"/>
    </row>
    <row r="496" ht="15.75" customHeight="1">
      <c r="M496" s="4"/>
    </row>
    <row r="497" ht="15.75" customHeight="1">
      <c r="M497" s="4"/>
    </row>
    <row r="498" ht="15.75" customHeight="1">
      <c r="M498" s="4"/>
    </row>
    <row r="499" ht="15.75" customHeight="1">
      <c r="M499" s="4"/>
    </row>
    <row r="500" ht="15.75" customHeight="1">
      <c r="M500" s="4"/>
    </row>
    <row r="501" ht="15.75" customHeight="1">
      <c r="M501" s="4"/>
    </row>
    <row r="502" ht="15.75" customHeight="1">
      <c r="M502" s="4"/>
    </row>
    <row r="503" ht="15.75" customHeight="1">
      <c r="M503" s="4"/>
    </row>
    <row r="504" ht="15.75" customHeight="1">
      <c r="M504" s="4"/>
    </row>
    <row r="505" ht="15.75" customHeight="1">
      <c r="M505" s="4"/>
    </row>
    <row r="506" ht="15.75" customHeight="1">
      <c r="M506" s="4"/>
    </row>
    <row r="507" ht="15.75" customHeight="1">
      <c r="M507" s="4"/>
    </row>
    <row r="508" ht="15.75" customHeight="1">
      <c r="M508" s="4"/>
    </row>
    <row r="509" ht="15.75" customHeight="1">
      <c r="M509" s="4"/>
    </row>
    <row r="510" ht="15.75" customHeight="1">
      <c r="M510" s="4"/>
    </row>
    <row r="511" ht="15.75" customHeight="1">
      <c r="M511" s="4"/>
    </row>
    <row r="512" ht="15.75" customHeight="1">
      <c r="M512" s="4"/>
    </row>
    <row r="513" ht="15.75" customHeight="1">
      <c r="M513" s="4"/>
    </row>
    <row r="514" ht="15.75" customHeight="1">
      <c r="M514" s="4"/>
    </row>
    <row r="515" ht="15.75" customHeight="1">
      <c r="M515" s="4"/>
    </row>
    <row r="516" ht="15.75" customHeight="1">
      <c r="M516" s="4"/>
    </row>
    <row r="517" ht="15.75" customHeight="1">
      <c r="M517" s="4"/>
    </row>
    <row r="518" ht="15.75" customHeight="1">
      <c r="M518" s="4"/>
    </row>
    <row r="519" ht="15.75" customHeight="1">
      <c r="M519" s="4"/>
    </row>
    <row r="520" ht="15.75" customHeight="1">
      <c r="M520" s="4"/>
    </row>
    <row r="521" ht="15.75" customHeight="1">
      <c r="M521" s="4"/>
    </row>
    <row r="522" ht="15.75" customHeight="1">
      <c r="M522" s="4"/>
    </row>
    <row r="523" ht="15.75" customHeight="1">
      <c r="M523" s="4"/>
    </row>
    <row r="524" ht="15.75" customHeight="1">
      <c r="M524" s="4"/>
    </row>
    <row r="525" ht="15.75" customHeight="1">
      <c r="M525" s="4"/>
    </row>
    <row r="526" ht="15.75" customHeight="1">
      <c r="M526" s="4"/>
    </row>
    <row r="527" ht="15.75" customHeight="1">
      <c r="M527" s="4"/>
    </row>
    <row r="528" ht="15.75" customHeight="1">
      <c r="M528" s="4"/>
    </row>
    <row r="529" ht="15.75" customHeight="1">
      <c r="M529" s="4"/>
    </row>
    <row r="530" ht="15.75" customHeight="1">
      <c r="M530" s="4"/>
    </row>
    <row r="531" ht="15.75" customHeight="1">
      <c r="M531" s="4"/>
    </row>
    <row r="532" ht="15.75" customHeight="1">
      <c r="M532" s="4"/>
    </row>
    <row r="533" ht="15.75" customHeight="1">
      <c r="M533" s="4"/>
    </row>
    <row r="534" ht="15.75" customHeight="1">
      <c r="M534" s="4"/>
    </row>
    <row r="535" ht="15.75" customHeight="1">
      <c r="M535" s="4"/>
    </row>
    <row r="536" ht="15.75" customHeight="1">
      <c r="M536" s="4"/>
    </row>
    <row r="537" ht="15.75" customHeight="1">
      <c r="M537" s="4"/>
    </row>
    <row r="538" ht="15.75" customHeight="1">
      <c r="M538" s="4"/>
    </row>
    <row r="539" ht="15.75" customHeight="1">
      <c r="M539" s="4"/>
    </row>
    <row r="540" ht="15.75" customHeight="1">
      <c r="M540" s="4"/>
    </row>
    <row r="541" ht="15.75" customHeight="1">
      <c r="M541" s="4"/>
    </row>
    <row r="542" ht="15.75" customHeight="1">
      <c r="M542" s="4"/>
    </row>
    <row r="543" ht="15.75" customHeight="1">
      <c r="M543" s="4"/>
    </row>
    <row r="544" ht="15.75" customHeight="1">
      <c r="M544" s="4"/>
    </row>
    <row r="545" ht="15.75" customHeight="1">
      <c r="M545" s="4"/>
    </row>
    <row r="546" ht="15.75" customHeight="1">
      <c r="M546" s="4"/>
    </row>
    <row r="547" ht="15.75" customHeight="1">
      <c r="M547" s="4"/>
    </row>
    <row r="548" ht="15.75" customHeight="1">
      <c r="M548" s="4"/>
    </row>
    <row r="549" ht="15.75" customHeight="1">
      <c r="M549" s="4"/>
    </row>
    <row r="550" ht="15.75" customHeight="1">
      <c r="M550" s="4"/>
    </row>
    <row r="551" ht="15.75" customHeight="1">
      <c r="M551" s="4"/>
    </row>
    <row r="552" ht="15.75" customHeight="1">
      <c r="M552" s="4"/>
    </row>
    <row r="553" ht="15.75" customHeight="1">
      <c r="M553" s="4"/>
    </row>
    <row r="554" ht="15.75" customHeight="1">
      <c r="M554" s="4"/>
    </row>
    <row r="555" ht="15.75" customHeight="1">
      <c r="M555" s="4"/>
    </row>
    <row r="556" ht="15.75" customHeight="1">
      <c r="M556" s="4"/>
    </row>
    <row r="557" ht="15.75" customHeight="1">
      <c r="M557" s="4"/>
    </row>
    <row r="558" ht="15.75" customHeight="1">
      <c r="M558" s="4"/>
    </row>
    <row r="559" ht="15.75" customHeight="1">
      <c r="M559" s="4"/>
    </row>
    <row r="560" ht="15.75" customHeight="1">
      <c r="M560" s="4"/>
    </row>
    <row r="561" ht="15.75" customHeight="1">
      <c r="M561" s="4"/>
    </row>
    <row r="562" ht="15.75" customHeight="1">
      <c r="M562" s="4"/>
    </row>
    <row r="563" ht="15.75" customHeight="1">
      <c r="M563" s="4"/>
    </row>
    <row r="564" ht="15.75" customHeight="1">
      <c r="M564" s="4"/>
    </row>
    <row r="565" ht="15.75" customHeight="1">
      <c r="M565" s="4"/>
    </row>
    <row r="566" ht="15.75" customHeight="1">
      <c r="M566" s="4"/>
    </row>
    <row r="567" ht="15.75" customHeight="1">
      <c r="M567" s="4"/>
    </row>
    <row r="568" ht="15.75" customHeight="1">
      <c r="M568" s="4"/>
    </row>
    <row r="569" ht="15.75" customHeight="1">
      <c r="M569" s="4"/>
    </row>
    <row r="570" ht="15.75" customHeight="1">
      <c r="M570" s="4"/>
    </row>
    <row r="571" ht="15.75" customHeight="1">
      <c r="M571" s="4"/>
    </row>
    <row r="572" ht="15.75" customHeight="1">
      <c r="M572" s="4"/>
    </row>
    <row r="573" ht="15.75" customHeight="1">
      <c r="M573" s="4"/>
    </row>
    <row r="574" ht="15.75" customHeight="1">
      <c r="M574" s="4"/>
    </row>
    <row r="575" ht="15.75" customHeight="1">
      <c r="M575" s="4"/>
    </row>
    <row r="576" ht="15.75" customHeight="1">
      <c r="M576" s="4"/>
    </row>
    <row r="577" ht="15.75" customHeight="1">
      <c r="M577" s="4"/>
    </row>
    <row r="578" ht="15.75" customHeight="1">
      <c r="M578" s="4"/>
    </row>
    <row r="579" ht="15.75" customHeight="1">
      <c r="M579" s="4"/>
    </row>
    <row r="580" ht="15.75" customHeight="1">
      <c r="M580" s="4"/>
    </row>
    <row r="581" ht="15.75" customHeight="1">
      <c r="M581" s="4"/>
    </row>
    <row r="582" ht="15.75" customHeight="1">
      <c r="M582" s="4"/>
    </row>
    <row r="583" ht="15.75" customHeight="1">
      <c r="M583" s="4"/>
    </row>
    <row r="584" ht="15.75" customHeight="1">
      <c r="M584" s="4"/>
    </row>
    <row r="585" ht="15.75" customHeight="1">
      <c r="M585" s="4"/>
    </row>
    <row r="586" ht="15.75" customHeight="1">
      <c r="M586" s="4"/>
    </row>
    <row r="587" ht="15.75" customHeight="1">
      <c r="M587" s="4"/>
    </row>
    <row r="588" ht="15.75" customHeight="1">
      <c r="M588" s="4"/>
    </row>
    <row r="589" ht="15.75" customHeight="1">
      <c r="M589" s="4"/>
    </row>
    <row r="590" ht="15.75" customHeight="1">
      <c r="M590" s="4"/>
    </row>
    <row r="591" ht="15.75" customHeight="1">
      <c r="M591" s="4"/>
    </row>
    <row r="592" ht="15.75" customHeight="1">
      <c r="M592" s="4"/>
    </row>
    <row r="593" ht="15.75" customHeight="1">
      <c r="M593" s="4"/>
    </row>
    <row r="594" ht="15.75" customHeight="1">
      <c r="M594" s="4"/>
    </row>
    <row r="595" ht="15.75" customHeight="1">
      <c r="M595" s="4"/>
    </row>
    <row r="596" ht="15.75" customHeight="1">
      <c r="M596" s="4"/>
    </row>
    <row r="597" ht="15.75" customHeight="1">
      <c r="M597" s="4"/>
    </row>
    <row r="598" ht="15.75" customHeight="1">
      <c r="M598" s="4"/>
    </row>
    <row r="599" ht="15.75" customHeight="1">
      <c r="M599" s="4"/>
    </row>
    <row r="600" ht="15.75" customHeight="1">
      <c r="M600" s="4"/>
    </row>
    <row r="601" ht="15.75" customHeight="1">
      <c r="M601" s="4"/>
    </row>
    <row r="602" ht="15.75" customHeight="1">
      <c r="M602" s="4"/>
    </row>
    <row r="603" ht="15.75" customHeight="1">
      <c r="M603" s="4"/>
    </row>
    <row r="604" ht="15.75" customHeight="1">
      <c r="M604" s="4"/>
    </row>
    <row r="605" ht="15.75" customHeight="1">
      <c r="M605" s="4"/>
    </row>
    <row r="606" ht="15.75" customHeight="1">
      <c r="M606" s="4"/>
    </row>
    <row r="607" ht="15.75" customHeight="1">
      <c r="M607" s="4"/>
    </row>
    <row r="608" ht="15.75" customHeight="1">
      <c r="M608" s="4"/>
    </row>
    <row r="609" ht="15.75" customHeight="1">
      <c r="M609" s="4"/>
    </row>
    <row r="610" ht="15.75" customHeight="1">
      <c r="M610" s="4"/>
    </row>
    <row r="611" ht="15.75" customHeight="1">
      <c r="M611" s="4"/>
    </row>
    <row r="612" ht="15.75" customHeight="1">
      <c r="M612" s="4"/>
    </row>
    <row r="613" ht="15.75" customHeight="1">
      <c r="M613" s="4"/>
    </row>
    <row r="614" ht="15.75" customHeight="1">
      <c r="M614" s="4"/>
    </row>
    <row r="615" ht="15.75" customHeight="1">
      <c r="M615" s="4"/>
    </row>
    <row r="616" ht="15.75" customHeight="1">
      <c r="M616" s="4"/>
    </row>
    <row r="617" ht="15.75" customHeight="1">
      <c r="M617" s="4"/>
    </row>
    <row r="618" ht="15.75" customHeight="1">
      <c r="M618" s="4"/>
    </row>
    <row r="619" ht="15.75" customHeight="1">
      <c r="M619" s="4"/>
    </row>
    <row r="620" ht="15.75" customHeight="1">
      <c r="M620" s="4"/>
    </row>
    <row r="621" ht="15.75" customHeight="1">
      <c r="M621" s="4"/>
    </row>
    <row r="622" ht="15.75" customHeight="1">
      <c r="M622" s="4"/>
    </row>
    <row r="623" ht="15.75" customHeight="1">
      <c r="M623" s="4"/>
    </row>
    <row r="624" ht="15.75" customHeight="1">
      <c r="M624" s="4"/>
    </row>
    <row r="625" ht="15.75" customHeight="1">
      <c r="M625" s="4"/>
    </row>
    <row r="626" ht="15.75" customHeight="1">
      <c r="M626" s="4"/>
    </row>
    <row r="627" ht="15.75" customHeight="1">
      <c r="M627" s="4"/>
    </row>
    <row r="628" ht="15.75" customHeight="1">
      <c r="M628" s="4"/>
    </row>
    <row r="629" ht="15.75" customHeight="1">
      <c r="M629" s="4"/>
    </row>
    <row r="630" ht="15.75" customHeight="1">
      <c r="M630" s="4"/>
    </row>
    <row r="631" ht="15.75" customHeight="1">
      <c r="M631" s="4"/>
    </row>
    <row r="632" ht="15.75" customHeight="1">
      <c r="M632" s="4"/>
    </row>
    <row r="633" ht="15.75" customHeight="1">
      <c r="M633" s="4"/>
    </row>
    <row r="634" ht="15.75" customHeight="1">
      <c r="M634" s="4"/>
    </row>
    <row r="635" ht="15.75" customHeight="1">
      <c r="M635" s="4"/>
    </row>
    <row r="636" ht="15.75" customHeight="1">
      <c r="M636" s="4"/>
    </row>
    <row r="637" ht="15.75" customHeight="1">
      <c r="M637" s="4"/>
    </row>
    <row r="638" ht="15.75" customHeight="1">
      <c r="M638" s="4"/>
    </row>
    <row r="639" ht="15.75" customHeight="1">
      <c r="M639" s="4"/>
    </row>
    <row r="640" ht="15.75" customHeight="1">
      <c r="M640" s="4"/>
    </row>
    <row r="641" ht="15.75" customHeight="1">
      <c r="M641" s="4"/>
    </row>
    <row r="642" ht="15.75" customHeight="1">
      <c r="M642" s="4"/>
    </row>
    <row r="643" ht="15.75" customHeight="1">
      <c r="M643" s="4"/>
    </row>
    <row r="644" ht="15.75" customHeight="1">
      <c r="M644" s="4"/>
    </row>
    <row r="645" ht="15.75" customHeight="1">
      <c r="M645" s="4"/>
    </row>
    <row r="646" ht="15.75" customHeight="1">
      <c r="M646" s="4"/>
    </row>
    <row r="647" ht="15.75" customHeight="1">
      <c r="M647" s="4"/>
    </row>
    <row r="648" ht="15.75" customHeight="1">
      <c r="M648" s="4"/>
    </row>
    <row r="649" ht="15.75" customHeight="1">
      <c r="M649" s="4"/>
    </row>
    <row r="650" ht="15.75" customHeight="1">
      <c r="M650" s="4"/>
    </row>
    <row r="651" ht="15.75" customHeight="1">
      <c r="M651" s="4"/>
    </row>
    <row r="652" ht="15.75" customHeight="1">
      <c r="M652" s="4"/>
    </row>
    <row r="653" ht="15.75" customHeight="1">
      <c r="M653" s="4"/>
    </row>
    <row r="654" ht="15.75" customHeight="1">
      <c r="M654" s="4"/>
    </row>
    <row r="655" ht="15.75" customHeight="1">
      <c r="M655" s="4"/>
    </row>
    <row r="656" ht="15.75" customHeight="1">
      <c r="M656" s="4"/>
    </row>
    <row r="657" ht="15.75" customHeight="1">
      <c r="M657" s="4"/>
    </row>
    <row r="658" ht="15.75" customHeight="1">
      <c r="M658" s="4"/>
    </row>
    <row r="659" ht="15.75" customHeight="1">
      <c r="M659" s="4"/>
    </row>
    <row r="660" ht="15.75" customHeight="1">
      <c r="M660" s="4"/>
    </row>
    <row r="661" ht="15.75" customHeight="1">
      <c r="M661" s="4"/>
    </row>
    <row r="662" ht="15.75" customHeight="1">
      <c r="M662" s="4"/>
    </row>
    <row r="663" ht="15.75" customHeight="1">
      <c r="M663" s="4"/>
    </row>
    <row r="664" ht="15.75" customHeight="1">
      <c r="M664" s="4"/>
    </row>
    <row r="665" ht="15.75" customHeight="1">
      <c r="M665" s="4"/>
    </row>
    <row r="666" ht="15.75" customHeight="1">
      <c r="M666" s="4"/>
    </row>
    <row r="667" ht="15.75" customHeight="1">
      <c r="M667" s="4"/>
    </row>
    <row r="668" ht="15.75" customHeight="1">
      <c r="M668" s="4"/>
    </row>
    <row r="669" ht="15.75" customHeight="1">
      <c r="M669" s="4"/>
    </row>
    <row r="670" ht="15.75" customHeight="1">
      <c r="M670" s="4"/>
    </row>
    <row r="671" ht="15.75" customHeight="1">
      <c r="M671" s="4"/>
    </row>
    <row r="672" ht="15.75" customHeight="1">
      <c r="M672" s="4"/>
    </row>
    <row r="673" ht="15.75" customHeight="1">
      <c r="M673" s="4"/>
    </row>
    <row r="674" ht="15.75" customHeight="1">
      <c r="M674" s="4"/>
    </row>
    <row r="675" ht="15.75" customHeight="1">
      <c r="M675" s="4"/>
    </row>
    <row r="676" ht="15.75" customHeight="1">
      <c r="M676" s="4"/>
    </row>
    <row r="677" ht="15.75" customHeight="1">
      <c r="M677" s="4"/>
    </row>
    <row r="678" ht="15.75" customHeight="1">
      <c r="M678" s="4"/>
    </row>
    <row r="679" ht="15.75" customHeight="1">
      <c r="M679" s="4"/>
    </row>
    <row r="680" ht="15.75" customHeight="1">
      <c r="M680" s="4"/>
    </row>
    <row r="681" ht="15.75" customHeight="1">
      <c r="M681" s="4"/>
    </row>
    <row r="682" ht="15.75" customHeight="1">
      <c r="M682" s="4"/>
    </row>
    <row r="683" ht="15.75" customHeight="1">
      <c r="M683" s="4"/>
    </row>
    <row r="684" ht="15.75" customHeight="1">
      <c r="M684" s="4"/>
    </row>
    <row r="685" ht="15.75" customHeight="1">
      <c r="M685" s="4"/>
    </row>
    <row r="686" ht="15.75" customHeight="1">
      <c r="M686" s="4"/>
    </row>
    <row r="687" ht="15.75" customHeight="1">
      <c r="M687" s="4"/>
    </row>
    <row r="688" ht="15.75" customHeight="1">
      <c r="M688" s="4"/>
    </row>
    <row r="689" ht="15.75" customHeight="1">
      <c r="M689" s="4"/>
    </row>
    <row r="690" ht="15.75" customHeight="1">
      <c r="M690" s="4"/>
    </row>
    <row r="691" ht="15.75" customHeight="1">
      <c r="M691" s="4"/>
    </row>
    <row r="692" ht="15.75" customHeight="1">
      <c r="M692" s="4"/>
    </row>
    <row r="693" ht="15.75" customHeight="1">
      <c r="M693" s="4"/>
    </row>
    <row r="694" ht="15.75" customHeight="1">
      <c r="M694" s="4"/>
    </row>
    <row r="695" ht="15.75" customHeight="1">
      <c r="M695" s="4"/>
    </row>
    <row r="696" ht="15.75" customHeight="1">
      <c r="M696" s="4"/>
    </row>
    <row r="697" ht="15.75" customHeight="1">
      <c r="M697" s="4"/>
    </row>
    <row r="698" ht="15.75" customHeight="1">
      <c r="M698" s="4"/>
    </row>
    <row r="699" ht="15.75" customHeight="1">
      <c r="M699" s="4"/>
    </row>
    <row r="700" ht="15.75" customHeight="1">
      <c r="M700" s="4"/>
    </row>
    <row r="701" ht="15.75" customHeight="1">
      <c r="M701" s="4"/>
    </row>
    <row r="702" ht="15.75" customHeight="1">
      <c r="M702" s="4"/>
    </row>
    <row r="703" ht="15.75" customHeight="1">
      <c r="M703" s="4"/>
    </row>
    <row r="704" ht="15.75" customHeight="1">
      <c r="M704" s="4"/>
    </row>
    <row r="705" ht="15.75" customHeight="1">
      <c r="M705" s="4"/>
    </row>
    <row r="706" ht="15.75" customHeight="1">
      <c r="M706" s="4"/>
    </row>
    <row r="707" ht="15.75" customHeight="1">
      <c r="M707" s="4"/>
    </row>
    <row r="708" ht="15.75" customHeight="1">
      <c r="M708" s="4"/>
    </row>
    <row r="709" ht="15.75" customHeight="1">
      <c r="M709" s="4"/>
    </row>
    <row r="710" ht="15.75" customHeight="1">
      <c r="M710" s="4"/>
    </row>
    <row r="711" ht="15.75" customHeight="1">
      <c r="M711" s="4"/>
    </row>
    <row r="712" ht="15.75" customHeight="1">
      <c r="M712" s="4"/>
    </row>
    <row r="713" ht="15.75" customHeight="1">
      <c r="M713" s="4"/>
    </row>
    <row r="714" ht="15.75" customHeight="1">
      <c r="M714" s="4"/>
    </row>
    <row r="715" ht="15.75" customHeight="1">
      <c r="M715" s="4"/>
    </row>
    <row r="716" ht="15.75" customHeight="1">
      <c r="M716" s="4"/>
    </row>
    <row r="717" ht="15.75" customHeight="1">
      <c r="M717" s="4"/>
    </row>
    <row r="718" ht="15.75" customHeight="1">
      <c r="M718" s="4"/>
    </row>
    <row r="719" ht="15.75" customHeight="1">
      <c r="M719" s="4"/>
    </row>
    <row r="720" ht="15.75" customHeight="1">
      <c r="M720" s="4"/>
    </row>
    <row r="721" ht="15.75" customHeight="1">
      <c r="M721" s="4"/>
    </row>
    <row r="722" ht="15.75" customHeight="1">
      <c r="M722" s="4"/>
    </row>
    <row r="723" ht="15.75" customHeight="1">
      <c r="M723" s="4"/>
    </row>
    <row r="724" ht="15.75" customHeight="1">
      <c r="M724" s="4"/>
    </row>
    <row r="725" ht="15.75" customHeight="1">
      <c r="M725" s="4"/>
    </row>
    <row r="726" ht="15.75" customHeight="1">
      <c r="M726" s="4"/>
    </row>
    <row r="727" ht="15.75" customHeight="1">
      <c r="M727" s="4"/>
    </row>
    <row r="728" ht="15.75" customHeight="1">
      <c r="M728" s="4"/>
    </row>
    <row r="729" ht="15.75" customHeight="1">
      <c r="M729" s="4"/>
    </row>
    <row r="730" ht="15.75" customHeight="1">
      <c r="M730" s="4"/>
    </row>
    <row r="731" ht="15.75" customHeight="1">
      <c r="M731" s="4"/>
    </row>
    <row r="732" ht="15.75" customHeight="1">
      <c r="M732" s="4"/>
    </row>
    <row r="733" ht="15.75" customHeight="1">
      <c r="M733" s="4"/>
    </row>
    <row r="734" ht="15.75" customHeight="1">
      <c r="M734" s="4"/>
    </row>
    <row r="735" ht="15.75" customHeight="1">
      <c r="M735" s="4"/>
    </row>
    <row r="736" ht="15.75" customHeight="1">
      <c r="M736" s="4"/>
    </row>
    <row r="737" ht="15.75" customHeight="1">
      <c r="M737" s="4"/>
    </row>
    <row r="738" ht="15.75" customHeight="1">
      <c r="M738" s="4"/>
    </row>
    <row r="739" ht="15.75" customHeight="1">
      <c r="M739" s="4"/>
    </row>
    <row r="740" ht="15.75" customHeight="1">
      <c r="M740" s="4"/>
    </row>
    <row r="741" ht="15.75" customHeight="1">
      <c r="M741" s="4"/>
    </row>
    <row r="742" ht="15.75" customHeight="1">
      <c r="M742" s="4"/>
    </row>
    <row r="743" ht="15.75" customHeight="1">
      <c r="M743" s="4"/>
    </row>
    <row r="744" ht="15.75" customHeight="1">
      <c r="M744" s="4"/>
    </row>
    <row r="745" ht="15.75" customHeight="1">
      <c r="M745" s="4"/>
    </row>
    <row r="746" ht="15.75" customHeight="1">
      <c r="M746" s="4"/>
    </row>
    <row r="747" ht="15.75" customHeight="1">
      <c r="M747" s="4"/>
    </row>
    <row r="748" ht="15.75" customHeight="1">
      <c r="M748" s="4"/>
    </row>
    <row r="749" ht="15.75" customHeight="1">
      <c r="M749" s="4"/>
    </row>
    <row r="750" ht="15.75" customHeight="1">
      <c r="M750" s="4"/>
    </row>
    <row r="751" ht="15.75" customHeight="1">
      <c r="M751" s="4"/>
    </row>
    <row r="752" ht="15.75" customHeight="1">
      <c r="M752" s="4"/>
    </row>
    <row r="753" ht="15.75" customHeight="1">
      <c r="M753" s="4"/>
    </row>
    <row r="754" ht="15.75" customHeight="1">
      <c r="M754" s="4"/>
    </row>
    <row r="755" ht="15.75" customHeight="1">
      <c r="M755" s="4"/>
    </row>
    <row r="756" ht="15.75" customHeight="1">
      <c r="M756" s="4"/>
    </row>
    <row r="757" ht="15.75" customHeight="1">
      <c r="M757" s="4"/>
    </row>
    <row r="758" ht="15.75" customHeight="1">
      <c r="M758" s="4"/>
    </row>
    <row r="759" ht="15.75" customHeight="1">
      <c r="M759" s="4"/>
    </row>
    <row r="760" ht="15.75" customHeight="1">
      <c r="M760" s="4"/>
    </row>
    <row r="761" ht="15.75" customHeight="1">
      <c r="M761" s="4"/>
    </row>
    <row r="762" ht="15.75" customHeight="1">
      <c r="M762" s="4"/>
    </row>
    <row r="763" ht="15.75" customHeight="1">
      <c r="M763" s="4"/>
    </row>
    <row r="764" ht="15.75" customHeight="1">
      <c r="M764" s="4"/>
    </row>
    <row r="765" ht="15.75" customHeight="1">
      <c r="M765" s="4"/>
    </row>
    <row r="766" ht="15.75" customHeight="1">
      <c r="M766" s="4"/>
    </row>
    <row r="767" ht="15.75" customHeight="1">
      <c r="M767" s="4"/>
    </row>
    <row r="768" ht="15.75" customHeight="1">
      <c r="M768" s="4"/>
    </row>
    <row r="769" ht="15.75" customHeight="1">
      <c r="M769" s="4"/>
    </row>
    <row r="770" ht="15.75" customHeight="1">
      <c r="M770" s="4"/>
    </row>
    <row r="771" ht="15.75" customHeight="1">
      <c r="M771" s="4"/>
    </row>
    <row r="772" ht="15.75" customHeight="1">
      <c r="M772" s="4"/>
    </row>
    <row r="773" ht="15.75" customHeight="1">
      <c r="M773" s="4"/>
    </row>
    <row r="774" ht="15.75" customHeight="1">
      <c r="M774" s="4"/>
    </row>
    <row r="775" ht="15.75" customHeight="1">
      <c r="M775" s="4"/>
    </row>
    <row r="776" ht="15.75" customHeight="1">
      <c r="M776" s="4"/>
    </row>
    <row r="777" ht="15.75" customHeight="1">
      <c r="M777" s="4"/>
    </row>
    <row r="778" ht="15.75" customHeight="1">
      <c r="M778" s="4"/>
    </row>
    <row r="779" ht="15.75" customHeight="1">
      <c r="M779" s="4"/>
    </row>
    <row r="780" ht="15.75" customHeight="1">
      <c r="M780" s="4"/>
    </row>
    <row r="781" ht="15.75" customHeight="1">
      <c r="M781" s="4"/>
    </row>
    <row r="782" ht="15.75" customHeight="1">
      <c r="M782" s="4"/>
    </row>
    <row r="783" ht="15.75" customHeight="1">
      <c r="M783" s="4"/>
    </row>
    <row r="784" ht="15.75" customHeight="1">
      <c r="M784" s="4"/>
    </row>
    <row r="785" ht="15.75" customHeight="1">
      <c r="M785" s="4"/>
    </row>
    <row r="786" ht="15.75" customHeight="1">
      <c r="M786" s="4"/>
    </row>
    <row r="787" ht="15.75" customHeight="1">
      <c r="M787" s="4"/>
    </row>
    <row r="788" ht="15.75" customHeight="1">
      <c r="M788" s="4"/>
    </row>
    <row r="789" ht="15.75" customHeight="1">
      <c r="M789" s="4"/>
    </row>
    <row r="790" ht="15.75" customHeight="1">
      <c r="M790" s="4"/>
    </row>
    <row r="791" ht="15.75" customHeight="1">
      <c r="M791" s="4"/>
    </row>
    <row r="792" ht="15.75" customHeight="1">
      <c r="M792" s="4"/>
    </row>
    <row r="793" ht="15.75" customHeight="1">
      <c r="M793" s="4"/>
    </row>
    <row r="794" ht="15.75" customHeight="1">
      <c r="M794" s="4"/>
    </row>
    <row r="795" ht="15.75" customHeight="1">
      <c r="M795" s="4"/>
    </row>
    <row r="796" ht="15.75" customHeight="1">
      <c r="M796" s="4"/>
    </row>
    <row r="797" ht="15.75" customHeight="1">
      <c r="M797" s="4"/>
    </row>
    <row r="798" ht="15.75" customHeight="1">
      <c r="M798" s="4"/>
    </row>
    <row r="799" ht="15.75" customHeight="1">
      <c r="M799" s="4"/>
    </row>
    <row r="800" ht="15.75" customHeight="1">
      <c r="M800" s="4"/>
    </row>
    <row r="801" ht="15.75" customHeight="1">
      <c r="M801" s="4"/>
    </row>
    <row r="802" ht="15.75" customHeight="1">
      <c r="M802" s="4"/>
    </row>
    <row r="803" ht="15.75" customHeight="1">
      <c r="M803" s="4"/>
    </row>
    <row r="804" ht="15.75" customHeight="1">
      <c r="M804" s="4"/>
    </row>
    <row r="805" ht="15.75" customHeight="1">
      <c r="M805" s="4"/>
    </row>
    <row r="806" ht="15.75" customHeight="1">
      <c r="M806" s="4"/>
    </row>
    <row r="807" ht="15.75" customHeight="1">
      <c r="M807" s="4"/>
    </row>
    <row r="808" ht="15.75" customHeight="1">
      <c r="M808" s="4"/>
    </row>
    <row r="809" ht="15.75" customHeight="1">
      <c r="M809" s="4"/>
    </row>
    <row r="810" ht="15.75" customHeight="1">
      <c r="M810" s="4"/>
    </row>
    <row r="811" ht="15.75" customHeight="1">
      <c r="M811" s="4"/>
    </row>
    <row r="812" ht="15.75" customHeight="1">
      <c r="M812" s="4"/>
    </row>
    <row r="813" ht="15.75" customHeight="1">
      <c r="M813" s="4"/>
    </row>
    <row r="814" ht="15.75" customHeight="1">
      <c r="M814" s="4"/>
    </row>
    <row r="815" ht="15.75" customHeight="1">
      <c r="M815" s="4"/>
    </row>
    <row r="816" ht="15.75" customHeight="1">
      <c r="M816" s="4"/>
    </row>
    <row r="817" ht="15.75" customHeight="1">
      <c r="M817" s="4"/>
    </row>
    <row r="818" ht="15.75" customHeight="1">
      <c r="M818" s="4"/>
    </row>
    <row r="819" ht="15.75" customHeight="1">
      <c r="M819" s="4"/>
    </row>
    <row r="820" ht="15.75" customHeight="1">
      <c r="M820" s="4"/>
    </row>
    <row r="821" ht="15.75" customHeight="1">
      <c r="M821" s="4"/>
    </row>
    <row r="822" ht="15.75" customHeight="1">
      <c r="M822" s="4"/>
    </row>
    <row r="823" ht="15.75" customHeight="1">
      <c r="M823" s="4"/>
    </row>
    <row r="824" ht="15.75" customHeight="1">
      <c r="M824" s="4"/>
    </row>
    <row r="825" ht="15.75" customHeight="1">
      <c r="M825" s="4"/>
    </row>
    <row r="826" ht="15.75" customHeight="1">
      <c r="M826" s="4"/>
    </row>
    <row r="827" ht="15.75" customHeight="1">
      <c r="M827" s="4"/>
    </row>
    <row r="828" ht="15.75" customHeight="1">
      <c r="M828" s="4"/>
    </row>
    <row r="829" ht="15.75" customHeight="1">
      <c r="M829" s="4"/>
    </row>
    <row r="830" ht="15.75" customHeight="1">
      <c r="M830" s="4"/>
    </row>
    <row r="831" ht="15.75" customHeight="1">
      <c r="M831" s="4"/>
    </row>
    <row r="832" ht="15.75" customHeight="1">
      <c r="M832" s="4"/>
    </row>
    <row r="833" ht="15.75" customHeight="1">
      <c r="M833" s="4"/>
    </row>
    <row r="834" ht="15.75" customHeight="1">
      <c r="M834" s="4"/>
    </row>
    <row r="835" ht="15.75" customHeight="1">
      <c r="M835" s="4"/>
    </row>
    <row r="836" ht="15.75" customHeight="1">
      <c r="M836" s="4"/>
    </row>
    <row r="837" ht="15.75" customHeight="1">
      <c r="M837" s="4"/>
    </row>
    <row r="838" ht="15.75" customHeight="1">
      <c r="M838" s="4"/>
    </row>
    <row r="839" ht="15.75" customHeight="1">
      <c r="M839" s="4"/>
    </row>
    <row r="840" ht="15.75" customHeight="1">
      <c r="M840" s="4"/>
    </row>
    <row r="841" ht="15.75" customHeight="1">
      <c r="M841" s="4"/>
    </row>
    <row r="842" ht="15.75" customHeight="1">
      <c r="M842" s="4"/>
    </row>
    <row r="843" ht="15.75" customHeight="1">
      <c r="M843" s="4"/>
    </row>
    <row r="844" ht="15.75" customHeight="1">
      <c r="M844" s="4"/>
    </row>
    <row r="845" ht="15.75" customHeight="1">
      <c r="M845" s="4"/>
    </row>
    <row r="846" ht="15.75" customHeight="1">
      <c r="M846" s="4"/>
    </row>
    <row r="847" ht="15.75" customHeight="1">
      <c r="M847" s="4"/>
    </row>
    <row r="848" ht="15.75" customHeight="1">
      <c r="M848" s="4"/>
    </row>
    <row r="849" ht="15.75" customHeight="1">
      <c r="M849" s="4"/>
    </row>
    <row r="850" ht="15.75" customHeight="1">
      <c r="M850" s="4"/>
    </row>
    <row r="851" ht="15.75" customHeight="1">
      <c r="M851" s="4"/>
    </row>
    <row r="852" ht="15.75" customHeight="1">
      <c r="M852" s="4"/>
    </row>
    <row r="853" ht="15.75" customHeight="1">
      <c r="M853" s="4"/>
    </row>
    <row r="854" ht="15.75" customHeight="1">
      <c r="M854" s="4"/>
    </row>
    <row r="855" ht="15.75" customHeight="1">
      <c r="M855" s="4"/>
    </row>
    <row r="856" ht="15.75" customHeight="1">
      <c r="M856" s="4"/>
    </row>
    <row r="857" ht="15.75" customHeight="1">
      <c r="M857" s="4"/>
    </row>
    <row r="858" ht="15.75" customHeight="1">
      <c r="M858" s="4"/>
    </row>
    <row r="859" ht="15.75" customHeight="1">
      <c r="M859" s="4"/>
    </row>
    <row r="860" ht="15.75" customHeight="1">
      <c r="M860" s="4"/>
    </row>
    <row r="861" ht="15.75" customHeight="1">
      <c r="M861" s="4"/>
    </row>
    <row r="862" ht="15.75" customHeight="1">
      <c r="M862" s="4"/>
    </row>
    <row r="863" ht="15.75" customHeight="1">
      <c r="M863" s="4"/>
    </row>
    <row r="864" ht="15.75" customHeight="1">
      <c r="M864" s="4"/>
    </row>
    <row r="865" ht="15.75" customHeight="1">
      <c r="M865" s="4"/>
    </row>
    <row r="866" ht="15.75" customHeight="1">
      <c r="M866" s="4"/>
    </row>
    <row r="867" ht="15.75" customHeight="1">
      <c r="M867" s="4"/>
    </row>
    <row r="868" ht="15.75" customHeight="1">
      <c r="M868" s="4"/>
    </row>
    <row r="869" ht="15.75" customHeight="1">
      <c r="M869" s="4"/>
    </row>
    <row r="870" ht="15.75" customHeight="1">
      <c r="M870" s="4"/>
    </row>
    <row r="871" ht="15.75" customHeight="1">
      <c r="M871" s="4"/>
    </row>
    <row r="872" ht="15.75" customHeight="1">
      <c r="M872" s="4"/>
    </row>
    <row r="873" ht="15.75" customHeight="1">
      <c r="M873" s="4"/>
    </row>
    <row r="874" ht="15.75" customHeight="1">
      <c r="M874" s="4"/>
    </row>
    <row r="875" ht="15.75" customHeight="1">
      <c r="M875" s="4"/>
    </row>
    <row r="876" ht="15.75" customHeight="1">
      <c r="M876" s="4"/>
    </row>
    <row r="877" ht="15.75" customHeight="1">
      <c r="M877" s="4"/>
    </row>
    <row r="878" ht="15.75" customHeight="1">
      <c r="M878" s="4"/>
    </row>
    <row r="879" ht="15.75" customHeight="1">
      <c r="M879" s="4"/>
    </row>
    <row r="880" ht="15.75" customHeight="1">
      <c r="M880" s="4"/>
    </row>
    <row r="881" ht="15.75" customHeight="1">
      <c r="M881" s="4"/>
    </row>
    <row r="882" ht="15.75" customHeight="1">
      <c r="M882" s="4"/>
    </row>
    <row r="883" ht="15.75" customHeight="1">
      <c r="M883" s="4"/>
    </row>
    <row r="884" ht="15.75" customHeight="1">
      <c r="M884" s="4"/>
    </row>
    <row r="885" ht="15.75" customHeight="1">
      <c r="M885" s="4"/>
    </row>
    <row r="886" ht="15.75" customHeight="1">
      <c r="M886" s="4"/>
    </row>
    <row r="887" ht="15.75" customHeight="1">
      <c r="M887" s="4"/>
    </row>
    <row r="888" ht="15.75" customHeight="1">
      <c r="M888" s="4"/>
    </row>
    <row r="889" ht="15.75" customHeight="1">
      <c r="M889" s="4"/>
    </row>
    <row r="890" ht="15.75" customHeight="1">
      <c r="M890" s="4"/>
    </row>
    <row r="891" ht="15.75" customHeight="1">
      <c r="M891" s="4"/>
    </row>
    <row r="892" ht="15.75" customHeight="1">
      <c r="M892" s="4"/>
    </row>
    <row r="893" ht="15.75" customHeight="1">
      <c r="M893" s="4"/>
    </row>
    <row r="894" ht="15.75" customHeight="1">
      <c r="M894" s="4"/>
    </row>
    <row r="895" ht="15.75" customHeight="1">
      <c r="M895" s="4"/>
    </row>
    <row r="896" ht="15.75" customHeight="1">
      <c r="M896" s="4"/>
    </row>
    <row r="897" ht="15.75" customHeight="1">
      <c r="M897" s="4"/>
    </row>
    <row r="898" ht="15.75" customHeight="1">
      <c r="M898" s="4"/>
    </row>
    <row r="899" ht="15.75" customHeight="1">
      <c r="M899" s="4"/>
    </row>
    <row r="900" ht="15.75" customHeight="1">
      <c r="M900" s="4"/>
    </row>
    <row r="901" ht="15.75" customHeight="1">
      <c r="M901" s="4"/>
    </row>
    <row r="902" ht="15.75" customHeight="1">
      <c r="M902" s="4"/>
    </row>
    <row r="903" ht="15.75" customHeight="1">
      <c r="M903" s="4"/>
    </row>
    <row r="904" ht="15.75" customHeight="1">
      <c r="M904" s="4"/>
    </row>
    <row r="905" ht="15.75" customHeight="1">
      <c r="M905" s="4"/>
    </row>
    <row r="906" ht="15.75" customHeight="1">
      <c r="M906" s="4"/>
    </row>
    <row r="907" ht="15.75" customHeight="1">
      <c r="M907" s="4"/>
    </row>
    <row r="908" ht="15.75" customHeight="1">
      <c r="M908" s="4"/>
    </row>
    <row r="909" ht="15.75" customHeight="1">
      <c r="M909" s="4"/>
    </row>
    <row r="910" ht="15.75" customHeight="1">
      <c r="M910" s="4"/>
    </row>
    <row r="911" ht="15.75" customHeight="1">
      <c r="M911" s="4"/>
    </row>
    <row r="912" ht="15.75" customHeight="1">
      <c r="M912" s="4"/>
    </row>
    <row r="913" ht="15.75" customHeight="1">
      <c r="M913" s="4"/>
    </row>
    <row r="914" ht="15.75" customHeight="1">
      <c r="M914" s="4"/>
    </row>
    <row r="915" ht="15.75" customHeight="1">
      <c r="M915" s="4"/>
    </row>
    <row r="916" ht="15.75" customHeight="1">
      <c r="M916" s="4"/>
    </row>
    <row r="917" ht="15.75" customHeight="1">
      <c r="M917" s="4"/>
    </row>
    <row r="918" ht="15.75" customHeight="1">
      <c r="M918" s="4"/>
    </row>
    <row r="919" ht="15.75" customHeight="1">
      <c r="M919" s="4"/>
    </row>
    <row r="920" ht="15.75" customHeight="1">
      <c r="M920" s="4"/>
    </row>
    <row r="921" ht="15.75" customHeight="1">
      <c r="M921" s="4"/>
    </row>
    <row r="922" ht="15.75" customHeight="1">
      <c r="M922" s="4"/>
    </row>
    <row r="923" ht="15.75" customHeight="1">
      <c r="M923" s="4"/>
    </row>
    <row r="924" ht="15.75" customHeight="1">
      <c r="M924" s="4"/>
    </row>
    <row r="925" ht="15.75" customHeight="1">
      <c r="M925" s="4"/>
    </row>
    <row r="926" ht="15.75" customHeight="1">
      <c r="M926" s="4"/>
    </row>
    <row r="927" ht="15.75" customHeight="1">
      <c r="M927" s="4"/>
    </row>
    <row r="928" ht="15.75" customHeight="1">
      <c r="M928" s="4"/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